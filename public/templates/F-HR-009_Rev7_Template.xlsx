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41.Requirement Specification for HR\Flow Chart _ทักษะความสามารถของพนักงาน\Form_HR\"/>
    </mc:Choice>
  </mc:AlternateContent>
  <xr:revisionPtr revIDLastSave="0" documentId="13_ncr:1_{79572029-FC38-437B-80D8-E5E70D9A49C6}" xr6:coauthVersionLast="47" xr6:coauthVersionMax="47" xr10:uidLastSave="{00000000-0000-0000-0000-000000000000}"/>
  <bookViews>
    <workbookView xWindow="-110" yWindow="-110" windowWidth="19420" windowHeight="10300" xr2:uid="{F7AC46B2-E8D3-4B94-B629-642B20D0A531}"/>
  </bookViews>
  <sheets>
    <sheet name="Evaluation-ทดลองงานปกติ" sheetId="2" r:id="rId1"/>
  </sheets>
  <externalReferences>
    <externalReference r:id="rId2"/>
  </externalReferences>
  <definedNames>
    <definedName name="_xlnm.Print_Area" localSheetId="0">'Evaluation-ทดลองงานปกติ'!$A$2:$X$47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2" l="1"/>
  <c r="T5" i="2" s="1"/>
  <c r="K5" i="2"/>
  <c r="M5" i="2" s="1"/>
  <c r="D5" i="2"/>
  <c r="F5" i="2" s="1"/>
  <c r="M3" i="2"/>
  <c r="S3" i="2" s="1"/>
  <c r="F3" i="2"/>
  <c r="F2" i="2"/>
</calcChain>
</file>

<file path=xl/sharedStrings.xml><?xml version="1.0" encoding="utf-8"?>
<sst xmlns="http://schemas.openxmlformats.org/spreadsheetml/2006/main" count="180" uniqueCount="96">
  <si>
    <t xml:space="preserve">      บริษัท  คอมพลีท  โอโต  รับเบอร์ แมนูแฟ็คเจอริ่ง  จำกัด</t>
  </si>
  <si>
    <t xml:space="preserve">Employee Name   </t>
  </si>
  <si>
    <t>Emp.Code</t>
  </si>
  <si>
    <t>6906006</t>
  </si>
  <si>
    <t>Starting Date</t>
  </si>
  <si>
    <t>Evaluation Period</t>
  </si>
  <si>
    <t>COMPLETE AUTO RUBBER MANUFACTURING CO., LTD.</t>
  </si>
  <si>
    <t>Position</t>
  </si>
  <si>
    <t>Section</t>
  </si>
  <si>
    <t>Department</t>
  </si>
  <si>
    <t>แบบประเมินผลทดลองงาน</t>
  </si>
  <si>
    <t>Very Good (ดีมาก)   = A+ (100 - 86%), Good ( ดี) = A ( 85 - 76%),  Average (ปลานกลาง) = B (75 - 66%),  Fair (พอใช้) = C ( 65 - 56%), Need to Improve (ต้องปรับปรุง) = D ( &lt; 56%)</t>
  </si>
  <si>
    <t>Evaluation Criteria</t>
  </si>
  <si>
    <t>30 days</t>
  </si>
  <si>
    <t>90 days</t>
  </si>
  <si>
    <t>119 days</t>
  </si>
  <si>
    <t>Remarks</t>
  </si>
  <si>
    <t>เกรด  ( Grade )</t>
  </si>
  <si>
    <t>A+</t>
  </si>
  <si>
    <t>A</t>
  </si>
  <si>
    <t>B</t>
  </si>
  <si>
    <t>C</t>
  </si>
  <si>
    <t>D</t>
  </si>
  <si>
    <t>ตัว</t>
  </si>
  <si>
    <t>คะแนน</t>
  </si>
  <si>
    <t>คะแนน ( Score )</t>
  </si>
  <si>
    <t>คูณ</t>
  </si>
  <si>
    <t>Total Score</t>
  </si>
  <si>
    <t>ความรู้ในงานของพนักงานใหม่</t>
  </si>
  <si>
    <t>X 2</t>
  </si>
  <si>
    <t xml:space="preserve"> </t>
  </si>
  <si>
    <t>`</t>
  </si>
  <si>
    <t>Knowledge of work</t>
  </si>
  <si>
    <t>ความขยัน / การอุทิศตนต่องาน</t>
  </si>
  <si>
    <t>Diligence / Devotion to duties</t>
  </si>
  <si>
    <t>ความรับผิดชอบต่องานและการติดตามงาน</t>
  </si>
  <si>
    <t>Responsibility &amp; Follow up</t>
  </si>
  <si>
    <t>ความร่วมมือ การประสานงาน และการทำงานเป็นทีม</t>
  </si>
  <si>
    <t>Cooperation compliance &amp; Teamwork</t>
  </si>
  <si>
    <t>ทัศนคติและการตอบสนองต่อนโยบายบริษัท</t>
  </si>
  <si>
    <t>Attitude and response to company policy.</t>
  </si>
  <si>
    <t>การปฏิบัติตามกฎระเบียบบริษัท / ความมีวินัย</t>
  </si>
  <si>
    <t>Regulation compliance / Discipline</t>
  </si>
  <si>
    <t>การวิเคราะห์และการแก้ปัญหา</t>
  </si>
  <si>
    <t>Problem analysis&amp;Solving</t>
  </si>
  <si>
    <t>ความสามารถปรับตัวและการเรียนรู้งาน</t>
  </si>
  <si>
    <t>Learning Ability &amp; Adaptability</t>
  </si>
  <si>
    <t>การใช้อุปกรณ์ความปลอดภัยในงาน</t>
  </si>
  <si>
    <t>Personal Protective Equipment  use</t>
  </si>
  <si>
    <t>การเข้าร่วมกิจกรรม (5ส.,ความปลอดภัย, ISO 14001, IATF16949)</t>
  </si>
  <si>
    <t>Activity Participation ( 5S,Safety,ISO 14001, IATF 16949 )</t>
  </si>
  <si>
    <t>รวมคะแนน</t>
  </si>
  <si>
    <t>ปัจจัยการประเมิน</t>
  </si>
  <si>
    <t>Passed</t>
  </si>
  <si>
    <t>Need to Improve</t>
  </si>
  <si>
    <t>Passed Probation</t>
  </si>
  <si>
    <t>In case passed probation only</t>
  </si>
  <si>
    <t xml:space="preserve"> 1. พิจารณาเป็นข้อๆ ไม่นำปัจจัยอื่นๆ มาตัดสินร่วมกัน</t>
  </si>
  <si>
    <t>Not Passed</t>
  </si>
  <si>
    <t xml:space="preserve"> Not Passed</t>
  </si>
  <si>
    <t>HR only :</t>
  </si>
  <si>
    <t xml:space="preserve"> 2. พิจารณาผลการทำงานในช่วงเวลาที่ผ่านมาไม่นำเหตุการณ์</t>
  </si>
  <si>
    <t>Evaluation by.............................................................</t>
  </si>
  <si>
    <t>Remark :  …………………………………………………</t>
  </si>
  <si>
    <t xml:space="preserve">            Adjust salary</t>
  </si>
  <si>
    <t xml:space="preserve">     อื่น ๆ มาตัดสิน</t>
  </si>
  <si>
    <t>Date........./............/............</t>
  </si>
  <si>
    <t>……………………………………………………………</t>
  </si>
  <si>
    <t xml:space="preserve">           Not adjust salary</t>
  </si>
  <si>
    <t xml:space="preserve"> 3.  พิจารณาจากดุลพินิจไม่โน้มเอียงตามฝ่ายหนึ่งฝ่ายใด</t>
  </si>
  <si>
    <t xml:space="preserve">   Adjust salary from …………………………………</t>
  </si>
  <si>
    <t xml:space="preserve"> 4.  การให้คะแนนประเมินโปรดพิจารณาร่วมกับผู้บังคับบัญชา</t>
  </si>
  <si>
    <t>Ass't Mgr. / Mgr. Dept................................................</t>
  </si>
  <si>
    <t>Ass't Mgr. / Mgr. Dept.............................................</t>
  </si>
  <si>
    <t xml:space="preserve">  to ………………………………………………….</t>
  </si>
  <si>
    <t xml:space="preserve"> 5.  ประเมินผล   ช่วงที่ 1 เมื่อทำงานครบ      30 วัน</t>
  </si>
  <si>
    <t xml:space="preserve">  Effective date ……………………………………..</t>
  </si>
  <si>
    <t xml:space="preserve">                            ช่วงที่ 2 เมื่อทำงานครบ      90 วัน</t>
  </si>
  <si>
    <t xml:space="preserve">                            ช่วงที่ 3 เมื่อทำงานครบ    119 วัน</t>
  </si>
  <si>
    <t>HR Manager........................................………………</t>
  </si>
  <si>
    <t>HR Manager........................................…</t>
  </si>
  <si>
    <t>HR Section : ……………………………………….</t>
  </si>
  <si>
    <t xml:space="preserve"> 6. แผนกทรัพยากรบุคคลและธุรการจะร่วมพิจารณาทั้ง 3 ช่อง </t>
  </si>
  <si>
    <t>Approved by  GM/Sr.GM</t>
  </si>
  <si>
    <t xml:space="preserve">     และเสนอ GM</t>
  </si>
  <si>
    <t>Employee Sign...........................................................</t>
  </si>
  <si>
    <t>Employee Sign........................................................</t>
  </si>
  <si>
    <t>Date......../............./..............</t>
  </si>
  <si>
    <t xml:space="preserve">     Date........./............/............</t>
  </si>
  <si>
    <t>Total Score 80 %</t>
  </si>
  <si>
    <t xml:space="preserve"> =</t>
  </si>
  <si>
    <t>HR Manager......................................</t>
  </si>
  <si>
    <t>Attendance  20 %</t>
  </si>
  <si>
    <t>Result Score  100 %</t>
  </si>
  <si>
    <t xml:space="preserve">   Employee Sign.......................</t>
  </si>
  <si>
    <t>Grade 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</si>
</sst>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[$-1010000]d/m/yy;@"/>
  </numFmts>
  <fonts count="15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2"/>
      <color rgb="FF0000FF"/>
      <name val="Browallia New"/>
      <family val="2"/>
    </font>
    <font>
      <b/>
      <sz val="14"/>
      <name val="Cordia New"/>
      <family val="2"/>
    </font>
    <font>
      <b/>
      <sz val="12"/>
      <name val="Cordia New"/>
      <family val="2"/>
    </font>
    <font>
      <b/>
      <sz val="13"/>
      <name val="Cordia New"/>
      <family val="2"/>
    </font>
    <font>
      <b/>
      <sz val="12.5"/>
      <name val="Cordia New"/>
      <family val="2"/>
    </font>
    <font>
      <b/>
      <sz val="16"/>
      <color rgb="FF000000"/>
      <name val="Cordia New"/>
      <family val="2"/>
    </font>
    <font>
      <sz val="11"/>
      <name val="Cordia New"/>
      <family val="2"/>
    </font>
    <font>
      <sz val="12"/>
      <name val="Cordia New"/>
      <family val="2"/>
    </font>
    <font>
      <sz val="12"/>
      <color rgb="FF000000"/>
      <name val="Cordia New"/>
      <family val="2"/>
    </font>
    <font>
      <b/>
      <i/>
      <sz val="12"/>
      <name val="Cordia New"/>
      <family val="2"/>
    </font>
    <font>
      <b/>
      <i/>
      <sz val="14"/>
      <name val="Cordia New"/>
      <family val="2"/>
    </font>
    <font>
      <sz val="10"/>
      <name val="Cordia New"/>
      <family val="2"/>
    </font>
    <font>
      <b/>
      <sz val="11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/>
    <xf numFmtId="0" fontId="3" fillId="2" borderId="3" xfId="1" applyFont="1" applyFill="1" applyBorder="1"/>
    <xf numFmtId="0" fontId="3" fillId="2" borderId="4" xfId="1" applyFont="1" applyFill="1" applyBorder="1"/>
    <xf numFmtId="0" fontId="2" fillId="2" borderId="5" xfId="1" applyFont="1" applyFill="1" applyBorder="1" applyAlignment="1">
      <alignment horizontal="center" vertical="center"/>
    </xf>
    <xf numFmtId="0" fontId="3" fillId="2" borderId="6" xfId="1" applyFont="1" applyFill="1" applyBorder="1"/>
    <xf numFmtId="0" fontId="3" fillId="2" borderId="7" xfId="1" applyFont="1" applyFill="1" applyBorder="1"/>
    <xf numFmtId="0" fontId="3" fillId="2" borderId="8" xfId="1" applyFont="1" applyFill="1" applyBorder="1"/>
    <xf numFmtId="0" fontId="5" fillId="2" borderId="2" xfId="1" applyFont="1" applyFill="1" applyBorder="1"/>
    <xf numFmtId="0" fontId="5" fillId="2" borderId="4" xfId="1" applyFont="1" applyFill="1" applyBorder="1"/>
    <xf numFmtId="0" fontId="3" fillId="3" borderId="1" xfId="1" applyFont="1" applyFill="1" applyBorder="1" applyAlignment="1">
      <alignment horizontal="center"/>
    </xf>
    <xf numFmtId="0" fontId="6" fillId="3" borderId="1" xfId="1" applyFont="1" applyFill="1" applyBorder="1"/>
    <xf numFmtId="0" fontId="1" fillId="3" borderId="9" xfId="1" applyFill="1" applyBorder="1"/>
    <xf numFmtId="0" fontId="1" fillId="3" borderId="10" xfId="1" applyFill="1" applyBorder="1"/>
    <xf numFmtId="0" fontId="3" fillId="3" borderId="9" xfId="1" applyFont="1" applyFill="1" applyBorder="1"/>
    <xf numFmtId="0" fontId="1" fillId="3" borderId="1" xfId="1" applyFill="1" applyBorder="1"/>
    <xf numFmtId="0" fontId="7" fillId="2" borderId="5" xfId="1" applyFont="1" applyFill="1" applyBorder="1" applyAlignment="1">
      <alignment horizontal="center" vertical="center" readingOrder="1"/>
    </xf>
    <xf numFmtId="0" fontId="8" fillId="2" borderId="11" xfId="1" applyFont="1" applyFill="1" applyBorder="1"/>
    <xf numFmtId="0" fontId="9" fillId="2" borderId="12" xfId="1" applyFont="1" applyFill="1" applyBorder="1"/>
    <xf numFmtId="165" fontId="9" fillId="2" borderId="12" xfId="1" applyNumberFormat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1" fillId="2" borderId="5" xfId="1" applyFill="1" applyBorder="1" applyAlignment="1">
      <alignment vertical="center"/>
    </xf>
    <xf numFmtId="0" fontId="9" fillId="2" borderId="5" xfId="1" applyFont="1" applyFill="1" applyBorder="1"/>
    <xf numFmtId="0" fontId="9" fillId="2" borderId="26" xfId="1" applyFont="1" applyFill="1" applyBorder="1"/>
    <xf numFmtId="0" fontId="9" fillId="2" borderId="0" xfId="1" applyFont="1" applyFill="1"/>
    <xf numFmtId="0" fontId="9" fillId="2" borderId="26" xfId="1" applyFont="1" applyFill="1" applyBorder="1" applyAlignment="1">
      <alignment horizontal="center"/>
    </xf>
    <xf numFmtId="0" fontId="9" fillId="2" borderId="20" xfId="1" applyFont="1" applyFill="1" applyBorder="1"/>
    <xf numFmtId="0" fontId="9" fillId="2" borderId="5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1" xfId="1" applyFont="1" applyFill="1" applyBorder="1"/>
    <xf numFmtId="0" fontId="9" fillId="2" borderId="10" xfId="1" applyFont="1" applyFill="1" applyBorder="1"/>
    <xf numFmtId="0" fontId="9" fillId="2" borderId="27" xfId="1" applyFont="1" applyFill="1" applyBorder="1" applyAlignment="1">
      <alignment vertical="center"/>
    </xf>
    <xf numFmtId="0" fontId="9" fillId="2" borderId="27" xfId="1" applyFont="1" applyFill="1" applyBorder="1"/>
    <xf numFmtId="0" fontId="9" fillId="2" borderId="28" xfId="1" applyFont="1" applyFill="1" applyBorder="1"/>
    <xf numFmtId="0" fontId="9" fillId="2" borderId="29" xfId="1" applyFont="1" applyFill="1" applyBorder="1"/>
    <xf numFmtId="0" fontId="9" fillId="2" borderId="30" xfId="1" applyFont="1" applyFill="1" applyBorder="1"/>
    <xf numFmtId="0" fontId="9" fillId="2" borderId="27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9" fillId="2" borderId="31" xfId="1" applyFont="1" applyFill="1" applyBorder="1"/>
    <xf numFmtId="0" fontId="9" fillId="2" borderId="16" xfId="1" applyFont="1" applyFill="1" applyBorder="1"/>
    <xf numFmtId="0" fontId="9" fillId="2" borderId="32" xfId="1" applyFont="1" applyFill="1" applyBorder="1"/>
    <xf numFmtId="0" fontId="9" fillId="2" borderId="16" xfId="1" applyFont="1" applyFill="1" applyBorder="1" applyAlignment="1">
      <alignment horizontal="center"/>
    </xf>
    <xf numFmtId="0" fontId="9" fillId="2" borderId="33" xfId="1" applyFont="1" applyFill="1" applyBorder="1"/>
    <xf numFmtId="0" fontId="9" fillId="2" borderId="34" xfId="1" applyFont="1" applyFill="1" applyBorder="1"/>
    <xf numFmtId="0" fontId="9" fillId="2" borderId="31" xfId="1" applyFont="1" applyFill="1" applyBorder="1" applyAlignment="1">
      <alignment horizontal="center"/>
    </xf>
    <xf numFmtId="0" fontId="9" fillId="2" borderId="32" xfId="1" applyFont="1" applyFill="1" applyBorder="1" applyAlignment="1">
      <alignment horizontal="center"/>
    </xf>
    <xf numFmtId="0" fontId="9" fillId="2" borderId="35" xfId="1" applyFont="1" applyFill="1" applyBorder="1"/>
    <xf numFmtId="0" fontId="9" fillId="2" borderId="36" xfId="1" applyFont="1" applyFill="1" applyBorder="1"/>
    <xf numFmtId="0" fontId="1" fillId="2" borderId="31" xfId="1" applyFill="1" applyBorder="1" applyAlignment="1">
      <alignment vertical="center"/>
    </xf>
    <xf numFmtId="0" fontId="10" fillId="0" borderId="27" xfId="1" applyFont="1" applyBorder="1" applyAlignment="1">
      <alignment vertical="center"/>
    </xf>
    <xf numFmtId="0" fontId="9" fillId="2" borderId="5" xfId="1" applyFont="1" applyFill="1" applyBorder="1" applyAlignment="1">
      <alignment vertical="center"/>
    </xf>
    <xf numFmtId="0" fontId="3" fillId="0" borderId="2" xfId="1" applyFont="1" applyBorder="1" applyAlignment="1">
      <alignment horizontal="center"/>
    </xf>
    <xf numFmtId="0" fontId="9" fillId="0" borderId="2" xfId="1" applyFont="1" applyBorder="1"/>
    <xf numFmtId="0" fontId="9" fillId="0" borderId="37" xfId="1" applyFont="1" applyBorder="1"/>
    <xf numFmtId="0" fontId="9" fillId="0" borderId="4" xfId="1" applyFont="1" applyBorder="1"/>
    <xf numFmtId="0" fontId="9" fillId="0" borderId="3" xfId="1" applyFont="1" applyBorder="1"/>
    <xf numFmtId="0" fontId="9" fillId="0" borderId="38" xfId="1" applyFont="1" applyBorder="1"/>
    <xf numFmtId="0" fontId="9" fillId="0" borderId="39" xfId="1" applyFont="1" applyBorder="1"/>
    <xf numFmtId="0" fontId="9" fillId="2" borderId="2" xfId="1" applyFont="1" applyFill="1" applyBorder="1"/>
    <xf numFmtId="0" fontId="9" fillId="2" borderId="37" xfId="1" applyFont="1" applyFill="1" applyBorder="1"/>
    <xf numFmtId="0" fontId="9" fillId="2" borderId="3" xfId="1" applyFont="1" applyFill="1" applyBorder="1" applyAlignment="1">
      <alignment horizontal="center" vertical="center"/>
    </xf>
    <xf numFmtId="0" fontId="3" fillId="2" borderId="1" xfId="1" applyFont="1" applyFill="1" applyBorder="1"/>
    <xf numFmtId="0" fontId="9" fillId="2" borderId="9" xfId="1" applyFont="1" applyFill="1" applyBorder="1"/>
    <xf numFmtId="0" fontId="9" fillId="2" borderId="9" xfId="1" applyFont="1" applyFill="1" applyBorder="1" applyAlignment="1">
      <alignment horizontal="left"/>
    </xf>
    <xf numFmtId="0" fontId="1" fillId="2" borderId="5" xfId="1" applyFill="1" applyBorder="1"/>
    <xf numFmtId="0" fontId="9" fillId="2" borderId="20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9" fillId="2" borderId="5" xfId="1" applyFont="1" applyFill="1" applyBorder="1" applyAlignment="1">
      <alignment horizontal="left"/>
    </xf>
    <xf numFmtId="0" fontId="13" fillId="2" borderId="5" xfId="1" applyFont="1" applyFill="1" applyBorder="1"/>
    <xf numFmtId="0" fontId="13" fillId="2" borderId="6" xfId="1" applyFont="1" applyFill="1" applyBorder="1"/>
    <xf numFmtId="0" fontId="9" fillId="2" borderId="6" xfId="1" applyFont="1" applyFill="1" applyBorder="1"/>
    <xf numFmtId="0" fontId="9" fillId="2" borderId="7" xfId="1" applyFont="1" applyFill="1" applyBorder="1"/>
    <xf numFmtId="0" fontId="9" fillId="2" borderId="8" xfId="1" applyFont="1" applyFill="1" applyBorder="1"/>
    <xf numFmtId="0" fontId="14" fillId="2" borderId="1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3" fillId="2" borderId="0" xfId="1" applyFont="1" applyFill="1"/>
    <xf numFmtId="0" fontId="9" fillId="2" borderId="40" xfId="1" applyFont="1" applyFill="1" applyBorder="1"/>
    <xf numFmtId="0" fontId="14" fillId="2" borderId="6" xfId="1" applyFont="1" applyFill="1" applyBorder="1" applyAlignment="1">
      <alignment horizontal="center"/>
    </xf>
    <xf numFmtId="0" fontId="4" fillId="4" borderId="13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/>
    </xf>
    <xf numFmtId="0" fontId="4" fillId="4" borderId="19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4" borderId="23" xfId="1" applyFont="1" applyFill="1" applyBorder="1" applyAlignment="1">
      <alignment horizontal="center" vertical="center"/>
    </xf>
    <xf numFmtId="0" fontId="4" fillId="4" borderId="24" xfId="1" applyFont="1" applyFill="1" applyBorder="1" applyAlignment="1">
      <alignment horizontal="center" vertical="center"/>
    </xf>
    <xf numFmtId="0" fontId="4" fillId="4" borderId="25" xfId="1" applyFont="1" applyFill="1" applyBorder="1" applyAlignment="1">
      <alignment horizontal="center" vertical="center"/>
    </xf>
    <xf numFmtId="0" fontId="12" fillId="4" borderId="5" xfId="2" applyFont="1" applyFill="1" applyBorder="1"/>
    <xf numFmtId="0" fontId="12" fillId="4" borderId="20" xfId="2" applyFont="1" applyFill="1" applyBorder="1"/>
    <xf numFmtId="0" fontId="1" fillId="4" borderId="5" xfId="2" applyFill="1" applyBorder="1" applyAlignment="1">
      <alignment horizontal="left"/>
    </xf>
    <xf numFmtId="0" fontId="9" fillId="4" borderId="5" xfId="2" applyFont="1" applyFill="1" applyBorder="1" applyAlignment="1">
      <alignment horizontal="left"/>
    </xf>
    <xf numFmtId="0" fontId="9" fillId="4" borderId="20" xfId="2" applyFont="1" applyFill="1" applyBorder="1"/>
    <xf numFmtId="0" fontId="1" fillId="4" borderId="20" xfId="2" applyFill="1" applyBorder="1"/>
    <xf numFmtId="0" fontId="9" fillId="4" borderId="6" xfId="2" applyFont="1" applyFill="1" applyBorder="1"/>
    <xf numFmtId="0" fontId="9" fillId="4" borderId="8" xfId="2" applyFont="1" applyFill="1" applyBorder="1"/>
    <xf numFmtId="0" fontId="1" fillId="4" borderId="5" xfId="2" applyFill="1" applyBorder="1"/>
    <xf numFmtId="15" fontId="1" fillId="4" borderId="20" xfId="2" applyNumberFormat="1" applyFill="1" applyBorder="1"/>
    <xf numFmtId="0" fontId="9" fillId="4" borderId="1" xfId="2" applyFont="1" applyFill="1" applyBorder="1"/>
    <xf numFmtId="0" fontId="9" fillId="4" borderId="10" xfId="2" applyFont="1" applyFill="1" applyBorder="1"/>
    <xf numFmtId="0" fontId="9" fillId="4" borderId="5" xfId="2" applyFont="1" applyFill="1" applyBorder="1"/>
    <xf numFmtId="0" fontId="1" fillId="4" borderId="5" xfId="2" applyFill="1" applyBorder="1" applyAlignment="1">
      <alignment horizontal="center"/>
    </xf>
    <xf numFmtId="0" fontId="1" fillId="4" borderId="20" xfId="2" applyFill="1" applyBorder="1" applyAlignment="1">
      <alignment horizontal="center"/>
    </xf>
    <xf numFmtId="0" fontId="1" fillId="4" borderId="6" xfId="2" applyFill="1" applyBorder="1" applyAlignment="1">
      <alignment horizontal="center"/>
    </xf>
    <xf numFmtId="0" fontId="1" fillId="4" borderId="8" xfId="2" applyFill="1" applyBorder="1" applyAlignment="1">
      <alignment horizontal="center"/>
    </xf>
    <xf numFmtId="0" fontId="9" fillId="4" borderId="5" xfId="2" applyFont="1" applyFill="1" applyBorder="1" applyAlignment="1">
      <alignment horizontal="center"/>
    </xf>
    <xf numFmtId="0" fontId="9" fillId="4" borderId="20" xfId="2" applyFont="1" applyFill="1" applyBorder="1" applyAlignment="1">
      <alignment horizontal="center"/>
    </xf>
    <xf numFmtId="0" fontId="9" fillId="4" borderId="6" xfId="2" applyFont="1" applyFill="1" applyBorder="1" applyAlignment="1">
      <alignment horizontal="center"/>
    </xf>
    <xf numFmtId="0" fontId="9" fillId="4" borderId="8" xfId="2" applyFont="1" applyFill="1" applyBorder="1" applyAlignment="1">
      <alignment horizontal="center"/>
    </xf>
    <xf numFmtId="0" fontId="9" fillId="2" borderId="0" xfId="1" applyFont="1" applyFill="1" applyAlignment="1">
      <alignment horizontal="left"/>
    </xf>
    <xf numFmtId="0" fontId="9" fillId="2" borderId="20" xfId="1" applyFont="1" applyFill="1" applyBorder="1" applyAlignment="1">
      <alignment horizontal="left"/>
    </xf>
    <xf numFmtId="0" fontId="1" fillId="4" borderId="5" xfId="2" applyFill="1" applyBorder="1" applyAlignment="1">
      <alignment horizontal="left"/>
    </xf>
    <xf numFmtId="0" fontId="1" fillId="4" borderId="20" xfId="2" applyFill="1" applyBorder="1" applyAlignment="1">
      <alignment horizontal="left"/>
    </xf>
    <xf numFmtId="0" fontId="12" fillId="4" borderId="1" xfId="2" applyFont="1" applyFill="1" applyBorder="1" applyAlignment="1">
      <alignment horizontal="center"/>
    </xf>
    <xf numFmtId="0" fontId="12" fillId="4" borderId="10" xfId="2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9" fillId="2" borderId="20" xfId="1" applyFont="1" applyFill="1" applyBorder="1" applyAlignment="1">
      <alignment horizontal="center"/>
    </xf>
    <xf numFmtId="0" fontId="9" fillId="2" borderId="27" xfId="1" applyFont="1" applyFill="1" applyBorder="1" applyAlignment="1">
      <alignment horizontal="center"/>
    </xf>
    <xf numFmtId="0" fontId="9" fillId="2" borderId="30" xfId="1" applyFont="1" applyFill="1" applyBorder="1" applyAlignment="1">
      <alignment horizontal="center"/>
    </xf>
    <xf numFmtId="0" fontId="11" fillId="4" borderId="2" xfId="2" applyFont="1" applyFill="1" applyBorder="1" applyAlignment="1">
      <alignment horizontal="center"/>
    </xf>
    <xf numFmtId="0" fontId="11" fillId="4" borderId="4" xfId="2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/>
    </xf>
    <xf numFmtId="0" fontId="9" fillId="2" borderId="33" xfId="1" applyFont="1" applyFill="1" applyBorder="1" applyAlignment="1">
      <alignment horizontal="center"/>
    </xf>
    <xf numFmtId="164" fontId="9" fillId="2" borderId="12" xfId="1" applyNumberFormat="1" applyFont="1" applyFill="1" applyBorder="1" applyAlignment="1">
      <alignment horizontal="center"/>
    </xf>
    <xf numFmtId="165" fontId="9" fillId="2" borderId="12" xfId="1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2" xfId="1" quotePrefix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14" fontId="5" fillId="2" borderId="2" xfId="1" applyNumberFormat="1" applyFont="1" applyFill="1" applyBorder="1" applyAlignment="1">
      <alignment horizontal="center" vertical="center"/>
    </xf>
    <xf numFmtId="14" fontId="5" fillId="2" borderId="3" xfId="1" applyNumberFormat="1" applyFont="1" applyFill="1" applyBorder="1" applyAlignment="1">
      <alignment horizontal="center" vertical="center"/>
    </xf>
    <xf numFmtId="14" fontId="5" fillId="2" borderId="4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3" fillId="2" borderId="8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/>
    </xf>
  </cellXfs>
  <cellStyles count="3">
    <cellStyle name="Normal" xfId="0" builtinId="0"/>
    <cellStyle name="Normal 61" xfId="1" xr:uid="{D9DC8B62-F976-4BDE-8ABD-A090B447F063}"/>
    <cellStyle name="Normal_TP-FM-HR-009 Evaluation Criteria 2" xfId="2" xr:uid="{87FD05A9-F455-4794-AC2E-45A7DCEAD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119742</xdr:rowOff>
    </xdr:from>
    <xdr:to>
      <xdr:col>6</xdr:col>
      <xdr:colOff>456747</xdr:colOff>
      <xdr:row>46</xdr:row>
      <xdr:rowOff>81642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FF50490-3EE8-4AD0-B88B-E450DA68E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114642"/>
          <a:ext cx="6584497" cy="1231900"/>
        </a:xfrm>
        <a:prstGeom prst="rect">
          <a:avLst/>
        </a:prstGeom>
        <a:noFill/>
      </xdr:spPr>
    </xdr:pic>
    <xdr:clientData/>
  </xdr:twoCellAnchor>
  <xdr:twoCellAnchor>
    <xdr:from>
      <xdr:col>22</xdr:col>
      <xdr:colOff>85271</xdr:colOff>
      <xdr:row>30</xdr:row>
      <xdr:rowOff>63500</xdr:rowOff>
    </xdr:from>
    <xdr:to>
      <xdr:col>22</xdr:col>
      <xdr:colOff>326571</xdr:colOff>
      <xdr:row>30</xdr:row>
      <xdr:rowOff>228600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C56910-121F-4DA1-9871-2E7DB2A8CEDD}"/>
            </a:ext>
          </a:extLst>
        </xdr:cNvPr>
        <xdr:cNvSpPr/>
      </xdr:nvSpPr>
      <xdr:spPr>
        <a:xfrm>
          <a:off x="13369471" y="7073900"/>
          <a:ext cx="241300" cy="165100"/>
        </a:xfrm>
        <a:prstGeom prst="rect">
          <a:avLst/>
        </a:prstGeom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22</xdr:col>
      <xdr:colOff>81642</xdr:colOff>
      <xdr:row>31</xdr:row>
      <xdr:rowOff>50800</xdr:rowOff>
    </xdr:from>
    <xdr:to>
      <xdr:col>22</xdr:col>
      <xdr:colOff>322942</xdr:colOff>
      <xdr:row>31</xdr:row>
      <xdr:rowOff>215900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9EB2E37-4332-4D28-9A0B-7B12752BA238}"/>
            </a:ext>
          </a:extLst>
        </xdr:cNvPr>
        <xdr:cNvSpPr/>
      </xdr:nvSpPr>
      <xdr:spPr>
        <a:xfrm>
          <a:off x="13365842" y="7346950"/>
          <a:ext cx="241300" cy="165100"/>
        </a:xfrm>
        <a:prstGeom prst="rect">
          <a:avLst/>
        </a:prstGeom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209550</xdr:colOff>
      <xdr:row>28</xdr:row>
      <xdr:rowOff>95249</xdr:rowOff>
    </xdr:from>
    <xdr:to>
      <xdr:col>1</xdr:col>
      <xdr:colOff>409575</xdr:colOff>
      <xdr:row>28</xdr:row>
      <xdr:rowOff>219074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424938A2-163D-47B7-BEC8-AE483D212324}"/>
            </a:ext>
          </a:extLst>
        </xdr:cNvPr>
        <xdr:cNvSpPr/>
      </xdr:nvSpPr>
      <xdr:spPr>
        <a:xfrm>
          <a:off x="4083050" y="6534149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219075</xdr:colOff>
      <xdr:row>28</xdr:row>
      <xdr:rowOff>95250</xdr:rowOff>
    </xdr:from>
    <xdr:to>
      <xdr:col>4</xdr:col>
      <xdr:colOff>419100</xdr:colOff>
      <xdr:row>28</xdr:row>
      <xdr:rowOff>219075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18870595-206B-4DB3-860E-D4DE59B4FCBF}"/>
            </a:ext>
          </a:extLst>
        </xdr:cNvPr>
        <xdr:cNvSpPr/>
      </xdr:nvSpPr>
      <xdr:spPr>
        <a:xfrm>
          <a:off x="5445125" y="6534150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11</xdr:col>
      <xdr:colOff>161925</xdr:colOff>
      <xdr:row>28</xdr:row>
      <xdr:rowOff>95250</xdr:rowOff>
    </xdr:from>
    <xdr:to>
      <xdr:col>11</xdr:col>
      <xdr:colOff>361950</xdr:colOff>
      <xdr:row>28</xdr:row>
      <xdr:rowOff>219075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A95F3210-5804-4E0A-AB43-80EFDD167B8B}"/>
            </a:ext>
          </a:extLst>
        </xdr:cNvPr>
        <xdr:cNvSpPr/>
      </xdr:nvSpPr>
      <xdr:spPr>
        <a:xfrm>
          <a:off x="8594725" y="6534150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123825</xdr:colOff>
      <xdr:row>28</xdr:row>
      <xdr:rowOff>104775</xdr:rowOff>
    </xdr:from>
    <xdr:to>
      <xdr:col>15</xdr:col>
      <xdr:colOff>323850</xdr:colOff>
      <xdr:row>28</xdr:row>
      <xdr:rowOff>228600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113D62A5-4B28-4A93-B302-A4F48D5BCE2C}"/>
            </a:ext>
          </a:extLst>
        </xdr:cNvPr>
        <xdr:cNvSpPr/>
      </xdr:nvSpPr>
      <xdr:spPr>
        <a:xfrm>
          <a:off x="10410825" y="6543675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133350</xdr:colOff>
      <xdr:row>29</xdr:row>
      <xdr:rowOff>66675</xdr:rowOff>
    </xdr:from>
    <xdr:to>
      <xdr:col>15</xdr:col>
      <xdr:colOff>333375</xdr:colOff>
      <xdr:row>29</xdr:row>
      <xdr:rowOff>190500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AEEB92C-620A-42F1-A377-E0BD7ABB8C34}"/>
            </a:ext>
          </a:extLst>
        </xdr:cNvPr>
        <xdr:cNvSpPr/>
      </xdr:nvSpPr>
      <xdr:spPr>
        <a:xfrm>
          <a:off x="10420350" y="6791325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209550</xdr:colOff>
      <xdr:row>29</xdr:row>
      <xdr:rowOff>85725</xdr:rowOff>
    </xdr:from>
    <xdr:to>
      <xdr:col>1</xdr:col>
      <xdr:colOff>409575</xdr:colOff>
      <xdr:row>29</xdr:row>
      <xdr:rowOff>209550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6FA93E47-55C3-4CA7-85D2-AC471FFBCE58}"/>
            </a:ext>
          </a:extLst>
        </xdr:cNvPr>
        <xdr:cNvSpPr/>
      </xdr:nvSpPr>
      <xdr:spPr>
        <a:xfrm>
          <a:off x="4083050" y="6810375"/>
          <a:ext cx="20002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171450</xdr:colOff>
      <xdr:row>29</xdr:row>
      <xdr:rowOff>76200</xdr:rowOff>
    </xdr:from>
    <xdr:to>
      <xdr:col>9</xdr:col>
      <xdr:colOff>9525</xdr:colOff>
      <xdr:row>29</xdr:row>
      <xdr:rowOff>200025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8931E418-5454-430B-9A90-1C4593199745}"/>
            </a:ext>
          </a:extLst>
        </xdr:cNvPr>
        <xdr:cNvSpPr/>
      </xdr:nvSpPr>
      <xdr:spPr>
        <a:xfrm>
          <a:off x="7461250" y="6800850"/>
          <a:ext cx="21907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171450</xdr:colOff>
      <xdr:row>28</xdr:row>
      <xdr:rowOff>95250</xdr:rowOff>
    </xdr:from>
    <xdr:to>
      <xdr:col>9</xdr:col>
      <xdr:colOff>9525</xdr:colOff>
      <xdr:row>28</xdr:row>
      <xdr:rowOff>219075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484DF676-E69F-4EC6-B00E-14AA2FF12303}"/>
            </a:ext>
          </a:extLst>
        </xdr:cNvPr>
        <xdr:cNvSpPr/>
      </xdr:nvSpPr>
      <xdr:spPr>
        <a:xfrm>
          <a:off x="7461250" y="6534150"/>
          <a:ext cx="219075" cy="123825"/>
        </a:xfrm>
        <a:prstGeom prst="round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13.%20&#3607;&#3632;&#3648;&#3610;&#3637;&#3618;&#3609;&#3621;&#3641;&#3585;&#3592;&#3657;&#3634;&#3591;&amp;&#3649;&#3592;&#3657;&#3591;&#3611;&#3619;&#3632;&#3585;&#3633;&#3609;&#3626;&#3633;&#3591;&#3588;&#3617;-Final\2.%20&#3607;&#3632;&#3648;&#3610;&#3637;&#3618;&#3609;&#3621;&#3641;&#3585;&#3592;&#3657;&#3634;&#3591;-Final\1.%20&#3607;&#3632;&#3648;&#3610;&#3637;&#3618;&#3609;&#3621;&#3641;&#3585;&#3592;&#3657;&#3634;&#3591;%20_%20Final\&#3607;&#3632;&#3648;&#3610;&#3637;&#3618;&#3609;&#3621;&#3641;&#3585;&#3592;&#3657;&#3634;&#3591;%20_Final%20&#3651;&#3594;&#3657;&#3605;&#3633;&#3623;&#3609;&#3637;&#3657;_&#3629;&#3633;&#3614;&#3648;&#3604;&#3607;%2009.07.26.xlsx" TargetMode="External"/><Relationship Id="rId1" Type="http://schemas.openxmlformats.org/officeDocument/2006/relationships/externalLinkPath" Target="/13.%20&#3607;&#3632;&#3648;&#3610;&#3637;&#3618;&#3609;&#3621;&#3641;&#3585;&#3592;&#3657;&#3634;&#3591;&amp;&#3649;&#3592;&#3657;&#3591;&#3611;&#3619;&#3632;&#3585;&#3633;&#3609;&#3626;&#3633;&#3591;&#3588;&#3617;-Final/2.%20&#3607;&#3632;&#3648;&#3610;&#3637;&#3618;&#3609;&#3621;&#3641;&#3585;&#3592;&#3657;&#3634;&#3591;-Final/1.%20&#3607;&#3632;&#3648;&#3610;&#3637;&#3618;&#3609;&#3621;&#3641;&#3585;&#3592;&#3657;&#3634;&#3591;%20_%20Final/&#3607;&#3632;&#3648;&#3610;&#3637;&#3618;&#3609;&#3621;&#3641;&#3585;&#3592;&#3657;&#3634;&#3591;%20_Final%20&#3651;&#3594;&#3657;&#3605;&#3633;&#3623;&#3609;&#3637;&#3657;_&#3629;&#3633;&#3614;&#3648;&#3604;&#3607;%2009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 Salary_Oct.REV.03"/>
      <sheetName val="ทะเบียนลูกจ้าง"/>
      <sheetName val="Sheet5"/>
      <sheetName val="แจกเสื้อ"/>
      <sheetName val="ทะเบียนลูกจ้าง (2)"/>
      <sheetName val="แยกตามสาเหตุ"/>
      <sheetName val="แยกตามHiring"/>
      <sheetName val="แยกตามอายุ &amp; SUM"/>
      <sheetName val="Compare Hiring"/>
      <sheetName val="Sum.FMG Daily&gt;Monthly"/>
      <sheetName val="Evaluation-ทดลองงานปกติ"/>
      <sheetName val="Evaluation-ทดลองงานปกติ (2)"/>
      <sheetName val="Evaluation-ต่อโปร"/>
      <sheetName val="Evaluation -ปรับตำแหน่ง"/>
      <sheetName val="Promotion"/>
      <sheetName val="Sheet1"/>
      <sheetName val="11. ทะเบียนลูกจ้าง (2)"/>
      <sheetName val="Sheet2"/>
      <sheetName val="Sheet3"/>
      <sheetName val="Sheet4"/>
    </sheetNames>
    <sheetDataSet>
      <sheetData sheetId="0"/>
      <sheetData sheetId="1">
        <row r="6">
          <cell r="B6" t="str">
            <v>3910A003</v>
          </cell>
          <cell r="C6" t="str">
            <v>นางสาวจุฑารัตน์ บุญเฟรือง</v>
          </cell>
          <cell r="D6" t="str">
            <v>FNG-3</v>
          </cell>
          <cell r="E6" t="str">
            <v>รายเดือน</v>
          </cell>
          <cell r="F6" t="str">
            <v>CAR</v>
          </cell>
          <cell r="G6" t="str">
            <v>พนักงานทั่วไป</v>
          </cell>
        </row>
        <row r="7">
          <cell r="B7" t="str">
            <v>4108A007</v>
          </cell>
          <cell r="C7" t="str">
            <v>นายคำน้อย ภูบัวคำ</v>
          </cell>
          <cell r="D7" t="str">
            <v>FMG-B</v>
          </cell>
          <cell r="E7" t="str">
            <v>รายเดือน</v>
          </cell>
          <cell r="F7" t="str">
            <v>CAR</v>
          </cell>
          <cell r="G7" t="str">
            <v>พนักงานทั่วไป</v>
          </cell>
        </row>
        <row r="8">
          <cell r="B8" t="str">
            <v>4305A004</v>
          </cell>
          <cell r="C8" t="str">
            <v>นายประสิทธิ์ โต๊ะงาม</v>
          </cell>
          <cell r="D8" t="str">
            <v>MIX</v>
          </cell>
          <cell r="E8" t="str">
            <v>รายเดือน</v>
          </cell>
          <cell r="F8" t="str">
            <v>CAR</v>
          </cell>
          <cell r="G8" t="str">
            <v>พนักงานทั่วไป</v>
          </cell>
        </row>
        <row r="9">
          <cell r="B9" t="str">
            <v>4311A001</v>
          </cell>
          <cell r="C9" t="str">
            <v>นายชัยยา วิชัยโย</v>
          </cell>
          <cell r="D9" t="str">
            <v>PD</v>
          </cell>
          <cell r="E9" t="str">
            <v>รายเดือน</v>
          </cell>
          <cell r="F9" t="str">
            <v>CAR</v>
          </cell>
          <cell r="G9" t="str">
            <v>ผู้ช่วยหัวหน้าหน่วย</v>
          </cell>
        </row>
        <row r="10">
          <cell r="B10" t="str">
            <v>4403A001</v>
          </cell>
          <cell r="C10" t="str">
            <v>นางสาวทัศนีย์  ปิ่นแก้ว</v>
          </cell>
          <cell r="D10" t="str">
            <v>NT</v>
          </cell>
          <cell r="E10" t="str">
            <v>รายเดือน</v>
          </cell>
          <cell r="F10" t="str">
            <v>CAR</v>
          </cell>
          <cell r="G10" t="str">
            <v>พนักงานทั่วไป</v>
          </cell>
        </row>
        <row r="11">
          <cell r="B11" t="str">
            <v>4409B006</v>
          </cell>
          <cell r="C11" t="str">
            <v>นายณัฐพงษ์ วงค์ใหญ่</v>
          </cell>
          <cell r="D11" t="str">
            <v>FMG-B</v>
          </cell>
          <cell r="E11" t="str">
            <v>รายเดือน</v>
          </cell>
          <cell r="F11" t="str">
            <v>CAR</v>
          </cell>
          <cell r="G11" t="str">
            <v>Set up mold</v>
          </cell>
        </row>
        <row r="12">
          <cell r="B12" t="str">
            <v>4502A006</v>
          </cell>
          <cell r="C12" t="str">
            <v>นายบุญสวน กงภูธร</v>
          </cell>
          <cell r="D12" t="str">
            <v>FMG-B</v>
          </cell>
          <cell r="E12" t="str">
            <v>รายเดือน</v>
          </cell>
          <cell r="F12" t="str">
            <v>CAR</v>
          </cell>
          <cell r="G12" t="str">
            <v>พนักงานทั่วไป</v>
          </cell>
        </row>
        <row r="13">
          <cell r="B13" t="str">
            <v>4509A030</v>
          </cell>
          <cell r="C13" t="str">
            <v>นายพิทยา ล้านทอง</v>
          </cell>
          <cell r="D13" t="str">
            <v>TFC</v>
          </cell>
          <cell r="E13" t="str">
            <v>รายเดือน</v>
          </cell>
          <cell r="F13" t="str">
            <v>CAR</v>
          </cell>
          <cell r="G13" t="str">
            <v>พนักงานทั่วไป</v>
          </cell>
        </row>
        <row r="14">
          <cell r="B14" t="str">
            <v>4509B028</v>
          </cell>
          <cell r="C14" t="str">
            <v>นายไชยรัตน์ จันทร์สวย</v>
          </cell>
          <cell r="D14" t="str">
            <v>FMG-B</v>
          </cell>
          <cell r="E14" t="str">
            <v>รายเดือน</v>
          </cell>
          <cell r="F14" t="str">
            <v>CAR</v>
          </cell>
          <cell r="G14" t="str">
            <v>พนักงานทั่วไป</v>
          </cell>
        </row>
        <row r="15">
          <cell r="B15" t="str">
            <v>4601A007</v>
          </cell>
          <cell r="C15" t="str">
            <v>นางสาวจิรา  นิ่มคร</v>
          </cell>
          <cell r="D15" t="str">
            <v>FNG-2</v>
          </cell>
          <cell r="E15" t="str">
            <v>รายเดือน</v>
          </cell>
          <cell r="F15" t="str">
            <v>CAR</v>
          </cell>
          <cell r="G15" t="str">
            <v>พนักงานทั่วไป</v>
          </cell>
        </row>
        <row r="16">
          <cell r="B16" t="str">
            <v>4603B015</v>
          </cell>
          <cell r="C16" t="str">
            <v>นายวศะ  มงคลรัตน์</v>
          </cell>
          <cell r="D16" t="str">
            <v>MIX</v>
          </cell>
          <cell r="E16" t="str">
            <v>รายเดือน</v>
          </cell>
          <cell r="F16" t="str">
            <v>CAR</v>
          </cell>
          <cell r="G16" t="str">
            <v>พนักงานทั่วไป</v>
          </cell>
        </row>
        <row r="17">
          <cell r="B17" t="str">
            <v>4704A007</v>
          </cell>
          <cell r="C17" t="str">
            <v>นางทองสา  กงภูธร</v>
          </cell>
          <cell r="D17" t="str">
            <v>FNG-2</v>
          </cell>
          <cell r="E17" t="str">
            <v>รายเดือน</v>
          </cell>
          <cell r="F17" t="str">
            <v>CAR</v>
          </cell>
          <cell r="G17" t="str">
            <v>พนักงานทั่วไป</v>
          </cell>
        </row>
        <row r="18">
          <cell r="B18" t="str">
            <v>4707C021</v>
          </cell>
          <cell r="C18" t="str">
            <v>นายทินกฤต  เศรษฐประเสริฐ</v>
          </cell>
          <cell r="D18" t="str">
            <v>EN</v>
          </cell>
          <cell r="E18" t="str">
            <v>รายเดือน</v>
          </cell>
          <cell r="F18" t="str">
            <v>CAR</v>
          </cell>
          <cell r="G18" t="str">
            <v>ช่างเทคนิค</v>
          </cell>
        </row>
        <row r="19">
          <cell r="B19" t="str">
            <v>4802A023</v>
          </cell>
          <cell r="C19" t="str">
            <v>นางสาวประภาพร อนันต์</v>
          </cell>
          <cell r="D19" t="str">
            <v>FNG-1</v>
          </cell>
          <cell r="E19" t="str">
            <v>รายเดือน</v>
          </cell>
          <cell r="F19" t="str">
            <v>CAR</v>
          </cell>
          <cell r="G19" t="str">
            <v>พนักงานทั่วไป</v>
          </cell>
        </row>
        <row r="20">
          <cell r="B20" t="str">
            <v>4807A077</v>
          </cell>
          <cell r="C20" t="str">
            <v>นายประจัก สมวัง</v>
          </cell>
          <cell r="D20" t="str">
            <v>EXT</v>
          </cell>
          <cell r="E20" t="str">
            <v>รายเดือน</v>
          </cell>
          <cell r="F20" t="str">
            <v>CAR</v>
          </cell>
          <cell r="G20" t="str">
            <v>พนักงานทั่วไป</v>
          </cell>
        </row>
        <row r="21">
          <cell r="B21" t="str">
            <v>4902A025</v>
          </cell>
          <cell r="C21" t="str">
            <v>นางสาวแก้วตา แย้มศรี</v>
          </cell>
          <cell r="D21" t="str">
            <v>FNG-1</v>
          </cell>
          <cell r="E21" t="str">
            <v>รายเดือน</v>
          </cell>
          <cell r="F21" t="str">
            <v>CAR</v>
          </cell>
          <cell r="G21" t="str">
            <v>พนักงานทั่วไป</v>
          </cell>
        </row>
        <row r="22">
          <cell r="B22" t="str">
            <v>4906B067</v>
          </cell>
          <cell r="C22" t="str">
            <v>นายมานัส ครเพ็ง</v>
          </cell>
          <cell r="D22" t="str">
            <v>FMG-B</v>
          </cell>
          <cell r="E22" t="str">
            <v>รายเดือน</v>
          </cell>
          <cell r="F22" t="str">
            <v>CAR</v>
          </cell>
          <cell r="G22" t="str">
            <v>พนักงานทั่วไป</v>
          </cell>
        </row>
        <row r="23">
          <cell r="B23" t="str">
            <v>4911B141</v>
          </cell>
          <cell r="C23" t="str">
            <v>นางสาวพัชรินทร์  ใจถวิล</v>
          </cell>
          <cell r="D23" t="str">
            <v>PD</v>
          </cell>
          <cell r="E23" t="str">
            <v>รายเดือน</v>
          </cell>
          <cell r="F23" t="str">
            <v>CAR</v>
          </cell>
          <cell r="G23" t="str">
            <v>หัวหน้าหน่วย</v>
          </cell>
        </row>
        <row r="24">
          <cell r="B24" t="str">
            <v>5011A139</v>
          </cell>
          <cell r="C24" t="str">
            <v>นายเกรียงศักดิ์  อ่อนจันทร์</v>
          </cell>
          <cell r="D24" t="str">
            <v>HR&amp;GA/ IT</v>
          </cell>
          <cell r="E24" t="str">
            <v>รายเดือน</v>
          </cell>
          <cell r="F24" t="str">
            <v>CAR</v>
          </cell>
          <cell r="G24" t="str">
            <v>พนักงานขับรถผู้บริหาร</v>
          </cell>
        </row>
        <row r="25">
          <cell r="B25" t="str">
            <v>5101000</v>
          </cell>
          <cell r="C25" t="str">
            <v>นายสันติ พัฒนะเมลือง</v>
          </cell>
          <cell r="D25" t="str">
            <v>MGT</v>
          </cell>
          <cell r="E25" t="str">
            <v>รายเดือน</v>
          </cell>
          <cell r="F25" t="str">
            <v>CAR</v>
          </cell>
          <cell r="G25" t="str">
            <v>กรรมการผู้จัดการ</v>
          </cell>
        </row>
        <row r="26">
          <cell r="B26" t="str">
            <v>5102A013</v>
          </cell>
          <cell r="C26" t="str">
            <v>นางสำเนียง กางถิ่น</v>
          </cell>
          <cell r="D26" t="str">
            <v>FNG-6</v>
          </cell>
          <cell r="E26" t="str">
            <v>รายเดือน</v>
          </cell>
          <cell r="F26" t="str">
            <v>CAR</v>
          </cell>
          <cell r="G26" t="str">
            <v>พนักงานทั่วไป</v>
          </cell>
        </row>
        <row r="27">
          <cell r="B27" t="str">
            <v>5105B043</v>
          </cell>
          <cell r="C27" t="str">
            <v>นางสาวกนกภรณ์ ช่วยรักษา</v>
          </cell>
          <cell r="D27" t="str">
            <v>PD</v>
          </cell>
          <cell r="E27" t="str">
            <v>รายเดือน</v>
          </cell>
          <cell r="F27" t="str">
            <v>CAR</v>
          </cell>
          <cell r="G27" t="str">
            <v>ผู้ช่วยหัวหน้าหน่วย</v>
          </cell>
        </row>
        <row r="28">
          <cell r="B28" t="str">
            <v>5106D072</v>
          </cell>
          <cell r="C28" t="str">
            <v>นายสุรศักดิ์ ทองเนื้อตัน</v>
          </cell>
          <cell r="D28" t="str">
            <v>PU</v>
          </cell>
          <cell r="E28" t="str">
            <v>รายเดือน</v>
          </cell>
          <cell r="F28" t="str">
            <v>CAR</v>
          </cell>
          <cell r="G28" t="str">
            <v>ผู้จัดการแผนก</v>
          </cell>
        </row>
        <row r="29">
          <cell r="B29" t="str">
            <v>5205008</v>
          </cell>
          <cell r="C29" t="str">
            <v>นางสาวณัฐธยาน์ เลิศพงษ์วณิช</v>
          </cell>
          <cell r="D29" t="str">
            <v>PC</v>
          </cell>
          <cell r="E29" t="str">
            <v>รายเดือน</v>
          </cell>
          <cell r="F29" t="str">
            <v>CAR</v>
          </cell>
          <cell r="G29" t="str">
            <v>หัวหน้าแผนก</v>
          </cell>
        </row>
        <row r="30">
          <cell r="B30" t="str">
            <v>5209059</v>
          </cell>
          <cell r="C30" t="str">
            <v>นางสาวรุ่งนภา โชคบัณฑิต</v>
          </cell>
          <cell r="D30" t="str">
            <v>PD</v>
          </cell>
          <cell r="E30" t="str">
            <v>รายเดือน</v>
          </cell>
          <cell r="F30" t="str">
            <v>CAR</v>
          </cell>
          <cell r="G30" t="str">
            <v>ผู้ช่วยหัวหน้าหน่วย</v>
          </cell>
        </row>
        <row r="31">
          <cell r="B31" t="str">
            <v>5210011</v>
          </cell>
          <cell r="C31" t="str">
            <v>นางปาริชาติ สมีพวง</v>
          </cell>
          <cell r="D31" t="str">
            <v>FNG-2</v>
          </cell>
          <cell r="E31" t="str">
            <v>รายเดือน</v>
          </cell>
          <cell r="F31" t="str">
            <v>CAR</v>
          </cell>
          <cell r="G31" t="str">
            <v>พนักงานทั่วไป</v>
          </cell>
        </row>
        <row r="32">
          <cell r="B32" t="str">
            <v>5210026</v>
          </cell>
          <cell r="C32" t="str">
            <v>นางสาวศิริญาพร  ชัยปัญหา</v>
          </cell>
          <cell r="D32" t="str">
            <v>FNG-4</v>
          </cell>
          <cell r="E32" t="str">
            <v>รายเดือน</v>
          </cell>
          <cell r="F32" t="str">
            <v>CAR</v>
          </cell>
          <cell r="G32" t="str">
            <v>พนักงานทั่วไป</v>
          </cell>
        </row>
        <row r="33">
          <cell r="B33" t="str">
            <v>5210040</v>
          </cell>
          <cell r="C33" t="str">
            <v>นางหทัยชนก  จิตรีนพ</v>
          </cell>
          <cell r="D33" t="str">
            <v>FNG-3</v>
          </cell>
          <cell r="E33" t="str">
            <v>รายเดือน</v>
          </cell>
          <cell r="F33" t="str">
            <v>CAR</v>
          </cell>
          <cell r="G33" t="str">
            <v>พนักงานทั่วไป</v>
          </cell>
        </row>
        <row r="34">
          <cell r="B34" t="str">
            <v>5211030</v>
          </cell>
          <cell r="C34" t="str">
            <v>นางสาวกนกวรรณ  บุญชะเอม</v>
          </cell>
          <cell r="D34" t="str">
            <v>FNG-4</v>
          </cell>
          <cell r="E34" t="str">
            <v>รายเดือน</v>
          </cell>
          <cell r="F34" t="str">
            <v>CAR</v>
          </cell>
          <cell r="G34" t="str">
            <v>พนักงานทั่วไป</v>
          </cell>
        </row>
        <row r="35">
          <cell r="B35" t="str">
            <v>5211031</v>
          </cell>
          <cell r="C35" t="str">
            <v>นางสาวมารตรี  จำปาทอง</v>
          </cell>
          <cell r="D35" t="str">
            <v>FNG-2</v>
          </cell>
          <cell r="E35" t="str">
            <v>รายเดือน</v>
          </cell>
          <cell r="F35" t="str">
            <v>CAR</v>
          </cell>
          <cell r="G35" t="str">
            <v>พนักงานทั่วไป</v>
          </cell>
        </row>
        <row r="36">
          <cell r="B36" t="str">
            <v>5211039</v>
          </cell>
          <cell r="C36" t="str">
            <v>นายสรรเสริญ จุฬางกูร</v>
          </cell>
          <cell r="D36" t="str">
            <v>MGT</v>
          </cell>
          <cell r="E36" t="str">
            <v>รายเดือน</v>
          </cell>
          <cell r="F36" t="str">
            <v>CAR</v>
          </cell>
          <cell r="G36" t="str">
            <v>ประธานกรรมการ</v>
          </cell>
        </row>
        <row r="37">
          <cell r="B37" t="str">
            <v>5212002</v>
          </cell>
          <cell r="C37" t="str">
            <v>นายบุญธรรม โคตรบุญมี</v>
          </cell>
          <cell r="D37" t="str">
            <v>QA/QC</v>
          </cell>
          <cell r="E37" t="str">
            <v>รายเดือน</v>
          </cell>
          <cell r="F37" t="str">
            <v>CAR</v>
          </cell>
          <cell r="G37" t="str">
            <v>หัวหน้าหน่วย</v>
          </cell>
        </row>
        <row r="38">
          <cell r="B38" t="str">
            <v>5301031</v>
          </cell>
          <cell r="C38" t="str">
            <v>นางสาวสัมพันธ์  สุภิษะ</v>
          </cell>
          <cell r="D38" t="str">
            <v>TFC</v>
          </cell>
          <cell r="E38" t="str">
            <v>รายเดือน</v>
          </cell>
          <cell r="F38" t="str">
            <v>CAR</v>
          </cell>
          <cell r="G38" t="str">
            <v>พนักงานทั่วไป</v>
          </cell>
        </row>
        <row r="39">
          <cell r="B39" t="str">
            <v>5301033</v>
          </cell>
          <cell r="C39" t="str">
            <v>นายสันทัด กลมจันทร์</v>
          </cell>
          <cell r="D39" t="str">
            <v>FMG-A</v>
          </cell>
          <cell r="E39" t="str">
            <v>รายเดือน</v>
          </cell>
          <cell r="F39" t="str">
            <v>CAR</v>
          </cell>
          <cell r="G39" t="str">
            <v>พนักงานทั่วไป</v>
          </cell>
        </row>
        <row r="40">
          <cell r="B40" t="str">
            <v>5302027</v>
          </cell>
          <cell r="C40" t="str">
            <v>นางสาวสุปราณี พรหมบุตร</v>
          </cell>
          <cell r="D40" t="str">
            <v>FNG-5</v>
          </cell>
          <cell r="E40" t="str">
            <v>รายเดือน</v>
          </cell>
          <cell r="F40" t="str">
            <v>CAR</v>
          </cell>
          <cell r="G40" t="str">
            <v>พนักงานทั่วไป</v>
          </cell>
        </row>
        <row r="41">
          <cell r="B41" t="str">
            <v>5302037</v>
          </cell>
          <cell r="C41" t="str">
            <v>นางฐิติดา หมู่สมบูรณ์</v>
          </cell>
          <cell r="D41" t="str">
            <v>FNG-2</v>
          </cell>
          <cell r="E41" t="str">
            <v>รายเดือน</v>
          </cell>
          <cell r="F41" t="str">
            <v>CAR</v>
          </cell>
          <cell r="G41" t="str">
            <v>พนักงานทั่วไป</v>
          </cell>
        </row>
        <row r="42">
          <cell r="B42" t="str">
            <v>5304008</v>
          </cell>
          <cell r="C42" t="str">
            <v>นางละอวย หมายชอบ</v>
          </cell>
          <cell r="D42" t="str">
            <v>FNG-1</v>
          </cell>
          <cell r="E42" t="str">
            <v>รายเดือน</v>
          </cell>
          <cell r="F42" t="str">
            <v>CAR</v>
          </cell>
          <cell r="G42" t="str">
            <v>พนักงานทั่วไป</v>
          </cell>
        </row>
        <row r="43">
          <cell r="B43" t="str">
            <v>5304009</v>
          </cell>
          <cell r="C43" t="str">
            <v>นางสาวเยาวลักษณ์ คีราช</v>
          </cell>
          <cell r="D43" t="str">
            <v>FNG-1</v>
          </cell>
          <cell r="E43" t="str">
            <v>รายเดือน</v>
          </cell>
          <cell r="F43" t="str">
            <v>CAR</v>
          </cell>
          <cell r="G43" t="str">
            <v>พนักงานทั่วไป</v>
          </cell>
        </row>
        <row r="44">
          <cell r="B44" t="str">
            <v>5304023</v>
          </cell>
          <cell r="C44" t="str">
            <v>นางสาวกนกพร  ชูคำ</v>
          </cell>
          <cell r="D44" t="str">
            <v>PD</v>
          </cell>
          <cell r="E44" t="str">
            <v>รายเดือน</v>
          </cell>
          <cell r="F44" t="str">
            <v>CAR</v>
          </cell>
          <cell r="G44" t="str">
            <v>พนักงานธุรการ</v>
          </cell>
        </row>
        <row r="45">
          <cell r="B45" t="str">
            <v>5305004</v>
          </cell>
          <cell r="C45" t="str">
            <v>นายณัฐณสิทธิ์ สรสิทธิ์</v>
          </cell>
          <cell r="D45" t="str">
            <v>PD</v>
          </cell>
          <cell r="E45" t="str">
            <v>รายเดือน</v>
          </cell>
          <cell r="F45" t="str">
            <v>CAR</v>
          </cell>
          <cell r="G45" t="str">
            <v>หัวหน้าแผนก</v>
          </cell>
        </row>
        <row r="46">
          <cell r="B46" t="str">
            <v>5308004</v>
          </cell>
          <cell r="C46" t="str">
            <v>นางสาวสุขใจ  โพธิยา</v>
          </cell>
          <cell r="D46" t="str">
            <v>FNG-1</v>
          </cell>
          <cell r="E46" t="str">
            <v>รายเดือน</v>
          </cell>
          <cell r="F46" t="str">
            <v>CAR</v>
          </cell>
          <cell r="G46" t="str">
            <v>พนักงานทั่วไป</v>
          </cell>
        </row>
        <row r="47">
          <cell r="B47" t="str">
            <v>5308005</v>
          </cell>
          <cell r="C47" t="str">
            <v>นางสาวสุกัญญา ภู่ยิ้ม</v>
          </cell>
          <cell r="D47" t="str">
            <v>PU</v>
          </cell>
          <cell r="E47" t="str">
            <v>รายเดือน</v>
          </cell>
          <cell r="F47" t="str">
            <v>CAR</v>
          </cell>
          <cell r="G47" t="str">
            <v>เจ้าหน้าที่อาวุโส</v>
          </cell>
        </row>
        <row r="48">
          <cell r="B48" t="str">
            <v>5310004</v>
          </cell>
          <cell r="C48" t="str">
            <v>นางสาวสุพรรณมณี ภู่จันทึก</v>
          </cell>
          <cell r="D48" t="str">
            <v>FNG-3</v>
          </cell>
          <cell r="E48" t="str">
            <v>รายเดือน</v>
          </cell>
          <cell r="F48" t="str">
            <v>CAR</v>
          </cell>
          <cell r="G48" t="str">
            <v>พนักงานทั่วไป</v>
          </cell>
        </row>
        <row r="49">
          <cell r="B49" t="str">
            <v>5311014</v>
          </cell>
          <cell r="C49" t="str">
            <v>นายวัชระ วงษ์ชุน</v>
          </cell>
          <cell r="D49" t="str">
            <v>MT</v>
          </cell>
          <cell r="E49" t="str">
            <v>รายเดือน</v>
          </cell>
          <cell r="F49" t="str">
            <v>CAR</v>
          </cell>
          <cell r="G49" t="str">
            <v>หัวหน้าหน่วย</v>
          </cell>
        </row>
        <row r="50">
          <cell r="B50" t="str">
            <v>5401012</v>
          </cell>
          <cell r="C50" t="str">
            <v>นางไพชิต โต๊ะงาม</v>
          </cell>
          <cell r="D50" t="str">
            <v>FNG-5</v>
          </cell>
          <cell r="E50" t="str">
            <v>รายเดือน</v>
          </cell>
          <cell r="F50" t="str">
            <v>CAR</v>
          </cell>
          <cell r="G50" t="str">
            <v>พนักงานทั่วไป</v>
          </cell>
        </row>
        <row r="51">
          <cell r="B51" t="str">
            <v>5402019</v>
          </cell>
          <cell r="C51" t="str">
            <v>นางสาวสุภา คำสีสุข</v>
          </cell>
          <cell r="D51" t="str">
            <v>FNG-4</v>
          </cell>
          <cell r="E51" t="str">
            <v>รายเดือน</v>
          </cell>
          <cell r="F51" t="str">
            <v>CAR</v>
          </cell>
          <cell r="G51" t="str">
            <v>พนักงานทั่วไป</v>
          </cell>
        </row>
        <row r="52">
          <cell r="B52" t="str">
            <v>5402034</v>
          </cell>
          <cell r="C52" t="str">
            <v>นายนลิตร จิว</v>
          </cell>
          <cell r="D52" t="str">
            <v>MT</v>
          </cell>
          <cell r="E52" t="str">
            <v>รายเดือน</v>
          </cell>
          <cell r="F52" t="str">
            <v>CAR</v>
          </cell>
          <cell r="G52" t="str">
            <v>ช่างเทคนิค</v>
          </cell>
        </row>
        <row r="53">
          <cell r="B53" t="str">
            <v>5403004</v>
          </cell>
          <cell r="C53" t="str">
            <v>นายอุทัย วิเวศน์</v>
          </cell>
          <cell r="D53" t="str">
            <v>PD</v>
          </cell>
          <cell r="E53" t="str">
            <v>รายเดือน</v>
          </cell>
          <cell r="F53" t="str">
            <v>CAR</v>
          </cell>
          <cell r="G53" t="str">
            <v>หัวหน้าหน่วย</v>
          </cell>
        </row>
        <row r="54">
          <cell r="B54" t="str">
            <v>5403012</v>
          </cell>
          <cell r="C54" t="str">
            <v>นางสาวณัฏฐ์ชญาดา เชาวดี</v>
          </cell>
          <cell r="D54" t="str">
            <v>FIN&amp;ACC</v>
          </cell>
          <cell r="E54" t="str">
            <v>รายเดือน</v>
          </cell>
          <cell r="F54" t="str">
            <v>CAR</v>
          </cell>
          <cell r="G54" t="str">
            <v>เจ้าหน้าที่</v>
          </cell>
        </row>
        <row r="55">
          <cell r="B55" t="str">
            <v>5403014</v>
          </cell>
          <cell r="C55" t="str">
            <v>นางสาวลำพูน คำเกษ</v>
          </cell>
          <cell r="D55" t="str">
            <v>PD</v>
          </cell>
          <cell r="E55" t="str">
            <v>รายเดือน</v>
          </cell>
          <cell r="F55" t="str">
            <v>CAR</v>
          </cell>
          <cell r="G55" t="str">
            <v>ผู้ช่วยหัวหน้าหน่วย</v>
          </cell>
        </row>
        <row r="56">
          <cell r="B56" t="str">
            <v>5403020</v>
          </cell>
          <cell r="C56" t="str">
            <v>นางสาวลำใย  สุขกาย</v>
          </cell>
          <cell r="D56" t="str">
            <v>FNG-6</v>
          </cell>
          <cell r="E56" t="str">
            <v>รายเดือน</v>
          </cell>
          <cell r="F56" t="str">
            <v>CAR</v>
          </cell>
          <cell r="G56" t="str">
            <v>พนักงานทั่วไป</v>
          </cell>
        </row>
        <row r="57">
          <cell r="B57" t="str">
            <v>5403033</v>
          </cell>
          <cell r="C57" t="str">
            <v>นางสาวศิริรัตน์ แก้วสะอาด</v>
          </cell>
          <cell r="D57" t="str">
            <v>QA/QC</v>
          </cell>
          <cell r="E57" t="str">
            <v>รายเดือน</v>
          </cell>
          <cell r="F57" t="str">
            <v>CAR</v>
          </cell>
          <cell r="G57" t="str">
            <v>พนักงานทั่วไป</v>
          </cell>
        </row>
        <row r="58">
          <cell r="B58" t="str">
            <v>5404001</v>
          </cell>
          <cell r="C58" t="str">
            <v>นางสาวจิรัตติกานต์  บุญรอด</v>
          </cell>
          <cell r="D58" t="str">
            <v>FIN&amp;ACC</v>
          </cell>
          <cell r="E58" t="str">
            <v>รายเดือน</v>
          </cell>
          <cell r="F58" t="str">
            <v>CAR</v>
          </cell>
          <cell r="G58" t="str">
            <v>ผู้จัดการแผนก</v>
          </cell>
        </row>
        <row r="59">
          <cell r="B59" t="str">
            <v>5405010</v>
          </cell>
          <cell r="C59" t="str">
            <v>นายวรพล วันมหาใจ</v>
          </cell>
          <cell r="D59" t="str">
            <v>FMG-B</v>
          </cell>
          <cell r="E59" t="str">
            <v>รายเดือน</v>
          </cell>
          <cell r="F59" t="str">
            <v>CAR</v>
          </cell>
          <cell r="G59" t="str">
            <v>Set up mold</v>
          </cell>
        </row>
        <row r="60">
          <cell r="B60" t="str">
            <v>5406018</v>
          </cell>
          <cell r="C60" t="str">
            <v>นายอำพันธ์ ศรีกวนชา</v>
          </cell>
          <cell r="D60" t="str">
            <v>STO</v>
          </cell>
          <cell r="E60" t="str">
            <v>รายเดือน</v>
          </cell>
          <cell r="F60" t="str">
            <v>CAR</v>
          </cell>
          <cell r="G60" t="str">
            <v>หัวหน้าแผนกอาวุโส</v>
          </cell>
        </row>
        <row r="61">
          <cell r="B61" t="str">
            <v>5407014</v>
          </cell>
          <cell r="C61" t="str">
            <v>นายธณัฐ  อ่อนน้อม</v>
          </cell>
          <cell r="D61" t="str">
            <v>EN</v>
          </cell>
          <cell r="E61" t="str">
            <v>รายเดือน</v>
          </cell>
          <cell r="F61" t="str">
            <v>CAR</v>
          </cell>
          <cell r="G61" t="str">
            <v>วิศวกร</v>
          </cell>
        </row>
        <row r="62">
          <cell r="B62" t="str">
            <v>5408019</v>
          </cell>
          <cell r="C62" t="str">
            <v>นายศุภชัย จันทะมุด</v>
          </cell>
          <cell r="D62" t="str">
            <v>PD</v>
          </cell>
          <cell r="E62" t="str">
            <v>รายเดือน</v>
          </cell>
          <cell r="F62" t="str">
            <v>CAR</v>
          </cell>
          <cell r="G62" t="str">
            <v>หัวหน้าหน่วย</v>
          </cell>
        </row>
        <row r="63">
          <cell r="B63" t="str">
            <v>5408024</v>
          </cell>
          <cell r="C63" t="str">
            <v>นายเกษม นามบุญ</v>
          </cell>
          <cell r="D63" t="str">
            <v>FMG-A</v>
          </cell>
          <cell r="E63" t="str">
            <v>รายเดือน</v>
          </cell>
          <cell r="F63" t="str">
            <v>CAR</v>
          </cell>
          <cell r="G63" t="str">
            <v>พนักงานทั่วไป</v>
          </cell>
        </row>
        <row r="64">
          <cell r="B64" t="str">
            <v>5408043</v>
          </cell>
          <cell r="C64" t="str">
            <v>นายจินนะวัตร ก้อนทอง</v>
          </cell>
          <cell r="D64" t="str">
            <v>EXT</v>
          </cell>
          <cell r="E64" t="str">
            <v>รายเดือน</v>
          </cell>
          <cell r="F64" t="str">
            <v>CAR</v>
          </cell>
          <cell r="G64" t="str">
            <v>พนักงานทั่วไป</v>
          </cell>
        </row>
        <row r="65">
          <cell r="B65" t="str">
            <v>5409026</v>
          </cell>
          <cell r="C65" t="str">
            <v>นางแพงศรี นนท์ศิริ</v>
          </cell>
          <cell r="D65" t="str">
            <v>FNG-5</v>
          </cell>
          <cell r="E65" t="str">
            <v>รายเดือน</v>
          </cell>
          <cell r="F65" t="str">
            <v>CAR</v>
          </cell>
          <cell r="G65" t="str">
            <v>พนักงานทั่วไป</v>
          </cell>
        </row>
        <row r="66">
          <cell r="B66" t="str">
            <v>5410014</v>
          </cell>
          <cell r="C66" t="str">
            <v>นายภัทรชัย  อ้อมนอก</v>
          </cell>
          <cell r="D66" t="str">
            <v>FMG-A</v>
          </cell>
          <cell r="E66" t="str">
            <v>รายเดือน</v>
          </cell>
          <cell r="F66" t="str">
            <v>CAR</v>
          </cell>
          <cell r="G66" t="str">
            <v>พนักงานทั่วไป</v>
          </cell>
        </row>
        <row r="67">
          <cell r="B67" t="str">
            <v>5410031</v>
          </cell>
          <cell r="C67" t="str">
            <v>นายประจิตร กองสมบัติ</v>
          </cell>
          <cell r="D67" t="str">
            <v>FMG-A</v>
          </cell>
          <cell r="E67" t="str">
            <v>รายเดือน</v>
          </cell>
          <cell r="F67" t="str">
            <v>CAR</v>
          </cell>
          <cell r="G67" t="str">
            <v>พนักงานทั่วไป</v>
          </cell>
        </row>
        <row r="68">
          <cell r="B68" t="str">
            <v>5412001</v>
          </cell>
          <cell r="C68" t="str">
            <v>นายสันติ  เผื่อนผาด</v>
          </cell>
          <cell r="D68" t="str">
            <v>STO</v>
          </cell>
          <cell r="E68" t="str">
            <v>รายเดือน</v>
          </cell>
          <cell r="F68" t="str">
            <v>CAR</v>
          </cell>
          <cell r="G68" t="str">
            <v>พนักงานทั่วไป</v>
          </cell>
        </row>
        <row r="69">
          <cell r="B69" t="str">
            <v>5412007</v>
          </cell>
          <cell r="C69" t="str">
            <v>นางนัชษ์ดวงพร ทรัพย์มาเต</v>
          </cell>
          <cell r="D69" t="str">
            <v>FNG-1</v>
          </cell>
          <cell r="E69" t="str">
            <v>รายเดือน</v>
          </cell>
          <cell r="F69" t="str">
            <v>CAR</v>
          </cell>
          <cell r="G69" t="str">
            <v>พนักงานทั่วไป</v>
          </cell>
        </row>
        <row r="70">
          <cell r="B70" t="str">
            <v>5501028</v>
          </cell>
          <cell r="C70" t="str">
            <v>นางสาวศศิธร  แดงเต๊ะ</v>
          </cell>
          <cell r="D70" t="str">
            <v>FNG-3</v>
          </cell>
          <cell r="E70" t="str">
            <v>รายเดือน</v>
          </cell>
          <cell r="F70" t="str">
            <v>CAR</v>
          </cell>
          <cell r="G70" t="str">
            <v>พนักงานทั่วไป</v>
          </cell>
        </row>
        <row r="71">
          <cell r="B71" t="str">
            <v>5501035</v>
          </cell>
          <cell r="C71" t="str">
            <v>นายบรรจง ภพไกร</v>
          </cell>
          <cell r="D71" t="str">
            <v>FMG-B</v>
          </cell>
          <cell r="E71" t="str">
            <v>รายเดือน</v>
          </cell>
          <cell r="F71" t="str">
            <v>CAR</v>
          </cell>
          <cell r="G71" t="str">
            <v>Set up mold</v>
          </cell>
        </row>
        <row r="72">
          <cell r="B72" t="str">
            <v>5501047</v>
          </cell>
          <cell r="C72" t="str">
            <v>นางวราภรณ์ อินแดง</v>
          </cell>
          <cell r="D72" t="str">
            <v>HR&amp;GA/ IT</v>
          </cell>
          <cell r="E72" t="str">
            <v>รายเดือน</v>
          </cell>
          <cell r="F72" t="str">
            <v>CAR</v>
          </cell>
          <cell r="G72" t="str">
            <v>แม่บ้าน</v>
          </cell>
        </row>
        <row r="73">
          <cell r="B73" t="str">
            <v>5503003</v>
          </cell>
          <cell r="C73" t="str">
            <v>นางสาวปิยาพัชร ชมชัยรัตน์</v>
          </cell>
          <cell r="D73" t="str">
            <v>FNG-1</v>
          </cell>
          <cell r="E73" t="str">
            <v>รายเดือน</v>
          </cell>
          <cell r="F73" t="str">
            <v>CAR</v>
          </cell>
          <cell r="G73" t="str">
            <v>พนักงานทั่วไป</v>
          </cell>
        </row>
        <row r="74">
          <cell r="B74" t="str">
            <v>5503014</v>
          </cell>
          <cell r="C74" t="str">
            <v>นางสาวพิศมัย  น้อยเรือง</v>
          </cell>
          <cell r="D74" t="str">
            <v>FMG-A</v>
          </cell>
          <cell r="E74" t="str">
            <v>รายเดือน</v>
          </cell>
          <cell r="F74" t="str">
            <v>CAR</v>
          </cell>
          <cell r="G74" t="str">
            <v>พนักงานทั่วไป</v>
          </cell>
        </row>
        <row r="75">
          <cell r="B75" t="str">
            <v>5504017</v>
          </cell>
          <cell r="C75" t="str">
            <v>นางสาวดวงจันทร์  ชาลีกัน</v>
          </cell>
          <cell r="D75" t="str">
            <v>FNG-3</v>
          </cell>
          <cell r="E75" t="str">
            <v>รายเดือน</v>
          </cell>
          <cell r="F75" t="str">
            <v>CAR</v>
          </cell>
          <cell r="G75" t="str">
            <v>พนักงานทั่วไป</v>
          </cell>
        </row>
        <row r="76">
          <cell r="B76" t="str">
            <v>5504021</v>
          </cell>
          <cell r="C76" t="str">
            <v>นางสาวกฤษณา เกตุสุวรรณ</v>
          </cell>
          <cell r="D76" t="str">
            <v>FNG-4</v>
          </cell>
          <cell r="E76" t="str">
            <v>รายเดือน</v>
          </cell>
          <cell r="F76" t="str">
            <v>CAR</v>
          </cell>
          <cell r="G76" t="str">
            <v>พนักงานทั่วไป</v>
          </cell>
        </row>
        <row r="77">
          <cell r="B77" t="str">
            <v>5504025</v>
          </cell>
          <cell r="C77" t="str">
            <v>นายอวยชัย สุจินดา</v>
          </cell>
          <cell r="D77" t="str">
            <v>FMG-B</v>
          </cell>
          <cell r="E77" t="str">
            <v>รายเดือน</v>
          </cell>
          <cell r="F77" t="str">
            <v>CAR</v>
          </cell>
          <cell r="G77" t="str">
            <v>Set up mold</v>
          </cell>
        </row>
        <row r="78">
          <cell r="B78" t="str">
            <v>5505012</v>
          </cell>
          <cell r="C78" t="str">
            <v>นางสาวศรัญญา ทายา</v>
          </cell>
          <cell r="D78" t="str">
            <v>FNG-1</v>
          </cell>
          <cell r="E78" t="str">
            <v>รายเดือน</v>
          </cell>
          <cell r="F78" t="str">
            <v>CAR</v>
          </cell>
          <cell r="G78" t="str">
            <v>พนักงานทั่วไป</v>
          </cell>
        </row>
        <row r="79">
          <cell r="B79" t="str">
            <v>5505013</v>
          </cell>
          <cell r="C79" t="str">
            <v>นางสาวมาลินี ทายา</v>
          </cell>
          <cell r="D79" t="str">
            <v>TFC</v>
          </cell>
          <cell r="E79" t="str">
            <v>รายเดือน</v>
          </cell>
          <cell r="F79" t="str">
            <v>CAR</v>
          </cell>
          <cell r="G79" t="str">
            <v>พนักงานทั่วไป</v>
          </cell>
        </row>
        <row r="80">
          <cell r="B80" t="str">
            <v>5505029</v>
          </cell>
          <cell r="C80" t="str">
            <v>นายชาตรี พิมพ์ศรี</v>
          </cell>
          <cell r="D80" t="str">
            <v>FMG-A</v>
          </cell>
          <cell r="E80" t="str">
            <v>รายเดือน</v>
          </cell>
          <cell r="F80" t="str">
            <v>CAR</v>
          </cell>
          <cell r="G80" t="str">
            <v>พนักงานทั่วไป</v>
          </cell>
        </row>
        <row r="81">
          <cell r="B81" t="str">
            <v>5505038</v>
          </cell>
          <cell r="C81" t="str">
            <v>นายธนวัฒน์ จันทะมุด</v>
          </cell>
          <cell r="D81" t="str">
            <v>FMG-B</v>
          </cell>
          <cell r="E81" t="str">
            <v>รายเดือน</v>
          </cell>
          <cell r="F81" t="str">
            <v>CAR</v>
          </cell>
          <cell r="G81" t="str">
            <v>พนักงานทั่วไป</v>
          </cell>
        </row>
        <row r="82">
          <cell r="B82" t="str">
            <v>5506017</v>
          </cell>
          <cell r="C82" t="str">
            <v>นางสาวเพ็ญนภา จิตรเพิ่ม</v>
          </cell>
          <cell r="D82" t="str">
            <v>FNG-6</v>
          </cell>
          <cell r="E82" t="str">
            <v>รายเดือน</v>
          </cell>
          <cell r="F82" t="str">
            <v>CAR</v>
          </cell>
          <cell r="G82" t="str">
            <v>พนักงานทั่วไป</v>
          </cell>
        </row>
        <row r="83">
          <cell r="B83" t="str">
            <v>5507021</v>
          </cell>
          <cell r="C83" t="str">
            <v>นายสุทิน กองเกิด</v>
          </cell>
          <cell r="D83" t="str">
            <v>HR&amp;GA/ IT</v>
          </cell>
          <cell r="E83" t="str">
            <v>รายเดือน</v>
          </cell>
          <cell r="F83" t="str">
            <v>CAR</v>
          </cell>
          <cell r="G83" t="str">
            <v>พ่อบ้าน</v>
          </cell>
        </row>
        <row r="84">
          <cell r="B84" t="str">
            <v>5508006</v>
          </cell>
          <cell r="C84" t="str">
            <v>นางสาวรัชนี ศุภชารี</v>
          </cell>
          <cell r="D84" t="str">
            <v>HR&amp;GA/ IT</v>
          </cell>
          <cell r="E84" t="str">
            <v>รายเดือน</v>
          </cell>
          <cell r="F84" t="str">
            <v>CAR</v>
          </cell>
          <cell r="G84" t="str">
            <v>หัวหน้าแผนก</v>
          </cell>
        </row>
        <row r="85">
          <cell r="B85" t="str">
            <v>5508017</v>
          </cell>
          <cell r="C85" t="str">
            <v>นางสาวธนพร รุนเรืองโรจน์</v>
          </cell>
          <cell r="D85" t="str">
            <v>STO</v>
          </cell>
          <cell r="E85" t="str">
            <v>รายเดือน</v>
          </cell>
          <cell r="F85" t="str">
            <v>CAR</v>
          </cell>
          <cell r="G85" t="str">
            <v>เจ้าหน้าที่</v>
          </cell>
        </row>
        <row r="86">
          <cell r="B86" t="str">
            <v>5508018</v>
          </cell>
          <cell r="C86" t="str">
            <v>นางสาวอัญชุลี หลงคำหงษ์</v>
          </cell>
          <cell r="D86" t="str">
            <v>HR&amp;GA/ IT</v>
          </cell>
          <cell r="E86" t="str">
            <v>รายเดือน</v>
          </cell>
          <cell r="F86" t="str">
            <v>CAR</v>
          </cell>
          <cell r="G86" t="str">
            <v>ผู้จัดการแผนก</v>
          </cell>
        </row>
        <row r="87">
          <cell r="B87" t="str">
            <v>5509001</v>
          </cell>
          <cell r="C87" t="str">
            <v>นางสาวนาคสุดา กิ่งบรรเทา</v>
          </cell>
          <cell r="D87" t="str">
            <v>EN</v>
          </cell>
          <cell r="E87" t="str">
            <v>รายเดือน</v>
          </cell>
          <cell r="F87" t="str">
            <v>CAR</v>
          </cell>
          <cell r="G87" t="str">
            <v>เจ้าหน้าที่ธุรการ</v>
          </cell>
        </row>
        <row r="88">
          <cell r="B88" t="str">
            <v>5511009</v>
          </cell>
          <cell r="C88" t="str">
            <v>นายวิสันต์ เขางาม</v>
          </cell>
          <cell r="D88" t="str">
            <v>FMG-B</v>
          </cell>
          <cell r="E88" t="str">
            <v>รายเดือน</v>
          </cell>
          <cell r="F88" t="str">
            <v>CAR</v>
          </cell>
          <cell r="G88" t="str">
            <v>Set up mold</v>
          </cell>
        </row>
        <row r="89">
          <cell r="B89" t="str">
            <v>5601007</v>
          </cell>
          <cell r="C89" t="str">
            <v>นายเอกชัย จันทะสี</v>
          </cell>
          <cell r="D89" t="str">
            <v>FMG-A</v>
          </cell>
          <cell r="E89" t="str">
            <v>รายเดือน</v>
          </cell>
          <cell r="F89" t="str">
            <v>CAR</v>
          </cell>
          <cell r="G89" t="str">
            <v>พนักงานทั่วไป</v>
          </cell>
        </row>
        <row r="90">
          <cell r="B90" t="str">
            <v>5601011</v>
          </cell>
          <cell r="C90" t="str">
            <v>นายพรเทพ คำสร้อยทอง</v>
          </cell>
          <cell r="D90" t="str">
            <v>HR&amp;GA/ IT</v>
          </cell>
          <cell r="E90" t="str">
            <v>รายเดือน</v>
          </cell>
          <cell r="F90" t="str">
            <v>CAR</v>
          </cell>
          <cell r="G90" t="str">
            <v>พนักงานขับรถ</v>
          </cell>
        </row>
        <row r="91">
          <cell r="B91" t="str">
            <v>5603011</v>
          </cell>
          <cell r="C91" t="str">
            <v>นายถาวร กันยาประสิทธิ์</v>
          </cell>
          <cell r="D91" t="str">
            <v>FMG-B</v>
          </cell>
          <cell r="E91" t="str">
            <v>รายเดือน</v>
          </cell>
          <cell r="F91" t="str">
            <v>CAR</v>
          </cell>
          <cell r="G91" t="str">
            <v>พนักงานทั่วไป</v>
          </cell>
        </row>
        <row r="92">
          <cell r="B92" t="str">
            <v>5603016</v>
          </cell>
          <cell r="C92" t="str">
            <v>นายประทีป ทิยศ</v>
          </cell>
          <cell r="D92" t="str">
            <v>FMG-A</v>
          </cell>
          <cell r="E92" t="str">
            <v>รายเดือน</v>
          </cell>
          <cell r="F92" t="str">
            <v>CAR</v>
          </cell>
          <cell r="G92" t="str">
            <v>พนักงานทั่วไป</v>
          </cell>
        </row>
        <row r="93">
          <cell r="B93" t="str">
            <v>5603017</v>
          </cell>
          <cell r="C93" t="str">
            <v>นายสุนทร โภคทรัพย์</v>
          </cell>
          <cell r="D93" t="str">
            <v>NT</v>
          </cell>
          <cell r="E93" t="str">
            <v>รายเดือน</v>
          </cell>
          <cell r="F93" t="str">
            <v>CAR</v>
          </cell>
          <cell r="G93" t="str">
            <v>พนักงานทั่วไป</v>
          </cell>
        </row>
        <row r="94">
          <cell r="B94" t="str">
            <v>5603048</v>
          </cell>
          <cell r="C94" t="str">
            <v>นางทิพวรรณ์ เกษร</v>
          </cell>
          <cell r="D94" t="str">
            <v>DELIV</v>
          </cell>
          <cell r="E94" t="str">
            <v>รายเดือน</v>
          </cell>
          <cell r="F94" t="str">
            <v>CAR</v>
          </cell>
          <cell r="G94" t="str">
            <v>พนักงานทั่วไป</v>
          </cell>
        </row>
        <row r="95">
          <cell r="B95" t="str">
            <v>5604023</v>
          </cell>
          <cell r="C95" t="str">
            <v>นางสาวสิริรักษ์ แสงจันทร์</v>
          </cell>
          <cell r="D95" t="str">
            <v>QA/QC</v>
          </cell>
          <cell r="E95" t="str">
            <v>รายเดือน</v>
          </cell>
          <cell r="F95" t="str">
            <v>CAR</v>
          </cell>
          <cell r="G95" t="str">
            <v>พนักงานทั่วไป</v>
          </cell>
        </row>
        <row r="96">
          <cell r="B96" t="str">
            <v>5604024</v>
          </cell>
          <cell r="C96" t="str">
            <v>นางสาวสมจันทร์ สิงหมัน</v>
          </cell>
          <cell r="D96" t="str">
            <v>STO</v>
          </cell>
          <cell r="E96" t="str">
            <v>รายเดือน</v>
          </cell>
          <cell r="F96" t="str">
            <v>CAR</v>
          </cell>
          <cell r="G96" t="str">
            <v>พนักงานทั่วไป</v>
          </cell>
        </row>
        <row r="97">
          <cell r="B97" t="str">
            <v>5604034</v>
          </cell>
          <cell r="C97" t="str">
            <v>นางสาวดาวเรือง บุตรเสมียน</v>
          </cell>
          <cell r="D97" t="str">
            <v>FNG-3</v>
          </cell>
          <cell r="E97" t="str">
            <v>รายเดือน</v>
          </cell>
          <cell r="F97" t="str">
            <v>CAR</v>
          </cell>
          <cell r="G97" t="str">
            <v>พนักงานทั่วไป</v>
          </cell>
        </row>
        <row r="98">
          <cell r="B98" t="str">
            <v>5604046</v>
          </cell>
          <cell r="C98" t="str">
            <v>นางสาวจริยา ศิริปะกะ</v>
          </cell>
          <cell r="D98" t="str">
            <v>PD</v>
          </cell>
          <cell r="E98" t="str">
            <v>รายเดือน</v>
          </cell>
          <cell r="F98" t="str">
            <v>CAR</v>
          </cell>
          <cell r="G98" t="str">
            <v>พนักงานทั่วไป</v>
          </cell>
        </row>
        <row r="99">
          <cell r="B99" t="str">
            <v>5605013</v>
          </cell>
          <cell r="C99" t="str">
            <v>นายอิทธิพล มานาดี</v>
          </cell>
          <cell r="D99" t="str">
            <v>EN</v>
          </cell>
          <cell r="E99" t="str">
            <v>รายเดือน</v>
          </cell>
          <cell r="F99" t="str">
            <v>CAR</v>
          </cell>
          <cell r="G99" t="str">
            <v>ช่างเทคนิค</v>
          </cell>
        </row>
        <row r="100">
          <cell r="B100" t="str">
            <v>5606009</v>
          </cell>
          <cell r="C100" t="str">
            <v>นางสาวสุญามน สะอาด</v>
          </cell>
          <cell r="D100" t="str">
            <v>FNG-4</v>
          </cell>
          <cell r="E100" t="str">
            <v>รายเดือน</v>
          </cell>
          <cell r="F100" t="str">
            <v>CAR</v>
          </cell>
          <cell r="G100" t="str">
            <v>พนักงานทั่วไป</v>
          </cell>
        </row>
        <row r="101">
          <cell r="B101" t="str">
            <v>5606017</v>
          </cell>
          <cell r="C101" t="str">
            <v>นางสาวธรรม์ษาพร ผงจันทร์</v>
          </cell>
          <cell r="D101" t="str">
            <v>QA/QC</v>
          </cell>
          <cell r="E101" t="str">
            <v>รายเดือน</v>
          </cell>
          <cell r="F101" t="str">
            <v>CAR</v>
          </cell>
          <cell r="G101" t="str">
            <v>ผู้ช่วยเจ้าหน้าที่</v>
          </cell>
        </row>
        <row r="102">
          <cell r="B102" t="str">
            <v>5606018</v>
          </cell>
          <cell r="C102" t="str">
            <v>นางสาวสุดารัตน์ ไสวงาม</v>
          </cell>
          <cell r="D102" t="str">
            <v>FNG-3</v>
          </cell>
          <cell r="E102" t="str">
            <v>รายเดือน</v>
          </cell>
          <cell r="F102" t="str">
            <v>CAR</v>
          </cell>
          <cell r="G102" t="str">
            <v>พนักงานทั่วไป</v>
          </cell>
        </row>
        <row r="103">
          <cell r="B103" t="str">
            <v>5606019</v>
          </cell>
          <cell r="C103" t="str">
            <v>นายสรัญ แสนบุญโท</v>
          </cell>
          <cell r="D103" t="str">
            <v>PD</v>
          </cell>
          <cell r="E103" t="str">
            <v>รายเดือน</v>
          </cell>
          <cell r="F103" t="str">
            <v>CAR</v>
          </cell>
          <cell r="G103" t="str">
            <v>ผู้ช่วยหัวหน้าหน่วย</v>
          </cell>
        </row>
        <row r="104">
          <cell r="B104" t="str">
            <v>5606023</v>
          </cell>
          <cell r="C104" t="str">
            <v>นางสาวกาญจนา บุญตา</v>
          </cell>
          <cell r="D104" t="str">
            <v>PD</v>
          </cell>
          <cell r="E104" t="str">
            <v>รายเดือน</v>
          </cell>
          <cell r="F104" t="str">
            <v>CAR</v>
          </cell>
          <cell r="G104" t="str">
            <v>ผู้ช่วยหัวหน้าหน่วย</v>
          </cell>
        </row>
        <row r="105">
          <cell r="B105" t="str">
            <v>5607002</v>
          </cell>
          <cell r="C105" t="str">
            <v>นายธวัต โสภาสินธุ์</v>
          </cell>
          <cell r="D105" t="str">
            <v>FMG-B</v>
          </cell>
          <cell r="E105" t="str">
            <v>รายเดือน</v>
          </cell>
          <cell r="F105" t="str">
            <v>CAR</v>
          </cell>
          <cell r="G105" t="str">
            <v>พนักงานทั่วไป</v>
          </cell>
        </row>
        <row r="106">
          <cell r="B106" t="str">
            <v>5607020</v>
          </cell>
          <cell r="C106" t="str">
            <v>นายสมศักดิ์ แซ่เล้า</v>
          </cell>
          <cell r="D106" t="str">
            <v>TFC</v>
          </cell>
          <cell r="E106" t="str">
            <v>รายเดือน</v>
          </cell>
          <cell r="F106" t="str">
            <v>CAR</v>
          </cell>
          <cell r="G106" t="str">
            <v>พนักงานทั่วไป</v>
          </cell>
        </row>
        <row r="107">
          <cell r="B107" t="str">
            <v>5607023</v>
          </cell>
          <cell r="C107" t="str">
            <v>นายกิตติชัย โทสิทธิ์</v>
          </cell>
          <cell r="D107" t="str">
            <v>R &amp; D</v>
          </cell>
          <cell r="E107" t="str">
            <v>รายเดือน</v>
          </cell>
          <cell r="F107" t="str">
            <v>CAR</v>
          </cell>
          <cell r="G107" t="str">
            <v>หัวหน้าแผนก</v>
          </cell>
        </row>
        <row r="108">
          <cell r="B108" t="str">
            <v>5610001</v>
          </cell>
          <cell r="C108" t="str">
            <v>นายวีรวัฒน์ สังข์ทอง</v>
          </cell>
          <cell r="D108" t="str">
            <v>FMG-A</v>
          </cell>
          <cell r="E108" t="str">
            <v>รายเดือน</v>
          </cell>
          <cell r="F108" t="str">
            <v>CAR</v>
          </cell>
          <cell r="G108" t="str">
            <v>พนักงานทั่วไป</v>
          </cell>
        </row>
        <row r="109">
          <cell r="B109" t="str">
            <v>5703003</v>
          </cell>
          <cell r="C109" t="str">
            <v>นางสาววิไลลักษณ์ เกษรักษา</v>
          </cell>
          <cell r="D109" t="str">
            <v>FNG-2</v>
          </cell>
          <cell r="E109" t="str">
            <v>รายเดือน</v>
          </cell>
          <cell r="F109" t="str">
            <v>CAR</v>
          </cell>
          <cell r="G109" t="str">
            <v>พนักงานทั่วไป</v>
          </cell>
        </row>
        <row r="110">
          <cell r="B110" t="str">
            <v>5704017</v>
          </cell>
          <cell r="C110" t="str">
            <v>นางสาวโศรดา ปัสโก</v>
          </cell>
          <cell r="D110" t="str">
            <v>FNG-5</v>
          </cell>
          <cell r="E110" t="str">
            <v>รายเดือน</v>
          </cell>
          <cell r="F110" t="str">
            <v>CAR</v>
          </cell>
          <cell r="G110" t="str">
            <v>พนักงานทั่วไป</v>
          </cell>
        </row>
        <row r="111">
          <cell r="B111" t="str">
            <v>5705009</v>
          </cell>
          <cell r="C111" t="str">
            <v>นางสาวศิริวรรณ เย็นยิ่ง</v>
          </cell>
          <cell r="D111" t="str">
            <v>HR&amp;GA/ IT</v>
          </cell>
          <cell r="E111" t="str">
            <v>รายเดือน</v>
          </cell>
          <cell r="F111" t="str">
            <v>CAR</v>
          </cell>
          <cell r="G111" t="str">
            <v>เลขานุการ SGM</v>
          </cell>
        </row>
        <row r="112">
          <cell r="B112" t="str">
            <v>5706012</v>
          </cell>
          <cell r="C112" t="str">
            <v>นางสาวชลลดา วรรณสิทธิ์</v>
          </cell>
          <cell r="D112" t="str">
            <v>FIN&amp;ACC</v>
          </cell>
          <cell r="E112" t="str">
            <v>รายเดือน</v>
          </cell>
          <cell r="F112" t="str">
            <v>CAR</v>
          </cell>
          <cell r="G112" t="str">
            <v>หัวหน้าแผนกอาวุโส</v>
          </cell>
        </row>
        <row r="113">
          <cell r="B113" t="str">
            <v>5706024</v>
          </cell>
          <cell r="C113" t="str">
            <v>นางสาวศิริขวัญ ปุ๊กสูงเนิน</v>
          </cell>
          <cell r="D113" t="str">
            <v>CUT</v>
          </cell>
          <cell r="E113" t="str">
            <v>รายเดือน</v>
          </cell>
          <cell r="F113" t="str">
            <v>CAR</v>
          </cell>
          <cell r="G113" t="str">
            <v>พนักงานทั่วไป</v>
          </cell>
        </row>
        <row r="114">
          <cell r="B114" t="str">
            <v>5706038</v>
          </cell>
          <cell r="C114" t="str">
            <v>นางสาวเอ็มจิต   หมื่นไธสง</v>
          </cell>
          <cell r="D114" t="str">
            <v>FNG-2</v>
          </cell>
          <cell r="E114" t="str">
            <v>รายเดือน</v>
          </cell>
          <cell r="F114" t="str">
            <v>CAR</v>
          </cell>
          <cell r="G114" t="str">
            <v>พนักงานทั่วไป</v>
          </cell>
        </row>
        <row r="115">
          <cell r="B115" t="str">
            <v>5707015</v>
          </cell>
          <cell r="C115" t="str">
            <v>นางสาวสุดาพร   สอนศรีแก้ว</v>
          </cell>
          <cell r="D115" t="str">
            <v>EXT</v>
          </cell>
          <cell r="E115" t="str">
            <v>รายเดือน</v>
          </cell>
          <cell r="F115" t="str">
            <v>CAR</v>
          </cell>
          <cell r="G115" t="str">
            <v>พนักงานทั่วไป</v>
          </cell>
        </row>
        <row r="116">
          <cell r="B116" t="str">
            <v>5708011</v>
          </cell>
          <cell r="C116" t="str">
            <v>นายสิทธิชัย   หลอดอาษา</v>
          </cell>
          <cell r="D116" t="str">
            <v>FMG-A</v>
          </cell>
          <cell r="E116" t="str">
            <v>รายเดือน</v>
          </cell>
          <cell r="F116" t="str">
            <v>CAR</v>
          </cell>
          <cell r="G116" t="str">
            <v>พนักงานทั่วไป</v>
          </cell>
        </row>
        <row r="117">
          <cell r="B117" t="str">
            <v>5711012</v>
          </cell>
          <cell r="C117" t="str">
            <v>นางสาววรัญญู   เจริญคร</v>
          </cell>
          <cell r="D117" t="str">
            <v>FIN&amp;ACC</v>
          </cell>
          <cell r="E117" t="str">
            <v>รายเดือน</v>
          </cell>
          <cell r="F117" t="str">
            <v>CAR</v>
          </cell>
          <cell r="G117" t="str">
            <v>เจ้าหน้าที่</v>
          </cell>
        </row>
        <row r="118">
          <cell r="B118" t="str">
            <v>5801005</v>
          </cell>
          <cell r="C118" t="str">
            <v>นางสาวพัชรินทร์   อินปั๋น</v>
          </cell>
          <cell r="D118" t="str">
            <v>DELIV</v>
          </cell>
          <cell r="E118" t="str">
            <v>รายเดือน</v>
          </cell>
          <cell r="F118" t="str">
            <v>CAR</v>
          </cell>
          <cell r="G118" t="str">
            <v>พนักงานทั่วไป</v>
          </cell>
        </row>
        <row r="119">
          <cell r="B119" t="str">
            <v>5801017</v>
          </cell>
          <cell r="C119" t="str">
            <v>นางสาวสมพร   วรรณพัฒน์</v>
          </cell>
          <cell r="D119" t="str">
            <v>QA/QC</v>
          </cell>
          <cell r="E119" t="str">
            <v>รายเดือน</v>
          </cell>
          <cell r="F119" t="str">
            <v>CAR</v>
          </cell>
          <cell r="G119" t="str">
            <v>พนักงานทั่วไป</v>
          </cell>
        </row>
        <row r="120">
          <cell r="B120" t="str">
            <v>5801034</v>
          </cell>
          <cell r="C120" t="str">
            <v>นายอานนท์   เฟื่องใจ</v>
          </cell>
          <cell r="D120" t="str">
            <v>STO</v>
          </cell>
          <cell r="E120" t="str">
            <v>รายเดือน</v>
          </cell>
          <cell r="F120" t="str">
            <v>CAR</v>
          </cell>
          <cell r="G120" t="str">
            <v>พนักงานทั่วไป</v>
          </cell>
        </row>
        <row r="121">
          <cell r="B121" t="str">
            <v>5801039</v>
          </cell>
          <cell r="C121" t="str">
            <v>นางสาวนิตติญา   สายสิงห์</v>
          </cell>
          <cell r="D121" t="str">
            <v>FMG-B</v>
          </cell>
          <cell r="E121" t="str">
            <v>รายเดือน</v>
          </cell>
          <cell r="F121" t="str">
            <v>CAR</v>
          </cell>
          <cell r="G121" t="str">
            <v>พนักงานทั่วไป</v>
          </cell>
        </row>
        <row r="122">
          <cell r="B122" t="str">
            <v>5803012</v>
          </cell>
          <cell r="C122" t="str">
            <v>นางสาวอำภา   หิงคำ</v>
          </cell>
          <cell r="D122" t="str">
            <v>HR&amp;GA/ IT</v>
          </cell>
          <cell r="E122" t="str">
            <v>รายเดือน</v>
          </cell>
          <cell r="F122" t="str">
            <v>CAR</v>
          </cell>
          <cell r="G122" t="str">
            <v>เจ้าหน้าที่</v>
          </cell>
        </row>
        <row r="123">
          <cell r="B123" t="str">
            <v>5803014</v>
          </cell>
          <cell r="C123" t="str">
            <v>นายอธิป   อัคศรี</v>
          </cell>
          <cell r="D123" t="str">
            <v>PD</v>
          </cell>
          <cell r="E123" t="str">
            <v>รายเดือน</v>
          </cell>
          <cell r="F123" t="str">
            <v>CAR</v>
          </cell>
          <cell r="G123" t="str">
            <v>ผู้ช่วยหัวหน้าหน่วย</v>
          </cell>
        </row>
        <row r="124">
          <cell r="B124" t="str">
            <v>5902013</v>
          </cell>
          <cell r="C124" t="str">
            <v>นางศิราวัลย์   เหมือนสิงห์</v>
          </cell>
          <cell r="D124" t="str">
            <v>QA/QC</v>
          </cell>
          <cell r="E124" t="str">
            <v>รายเดือน</v>
          </cell>
          <cell r="F124" t="str">
            <v>CAR</v>
          </cell>
          <cell r="G124" t="str">
            <v>พนักงานทั่วไป</v>
          </cell>
        </row>
        <row r="125">
          <cell r="B125" t="str">
            <v>5902015</v>
          </cell>
          <cell r="C125" t="str">
            <v>นายไพรัช   ศรีธรรม</v>
          </cell>
          <cell r="D125" t="str">
            <v>FMG-A</v>
          </cell>
          <cell r="E125" t="str">
            <v>รายเดือน</v>
          </cell>
          <cell r="F125" t="str">
            <v>CAR</v>
          </cell>
          <cell r="G125" t="str">
            <v>พนักงานทั่วไป</v>
          </cell>
        </row>
        <row r="126">
          <cell r="B126" t="str">
            <v>5904002</v>
          </cell>
          <cell r="C126" t="str">
            <v>นางสาวบุษยา พุฒแก้ว</v>
          </cell>
          <cell r="D126" t="str">
            <v>MK</v>
          </cell>
          <cell r="E126" t="str">
            <v>รายเดือน</v>
          </cell>
          <cell r="F126" t="str">
            <v>CAR</v>
          </cell>
          <cell r="G126" t="str">
            <v>ผู้ช่วยผู้จัดการแผนก</v>
          </cell>
        </row>
        <row r="127">
          <cell r="B127" t="str">
            <v>5905004</v>
          </cell>
          <cell r="C127" t="str">
            <v>นางสาวนัยนา   ศรีมันตะ</v>
          </cell>
          <cell r="D127" t="str">
            <v>EXT</v>
          </cell>
          <cell r="E127" t="str">
            <v>รายเดือน</v>
          </cell>
          <cell r="F127" t="str">
            <v>CAR</v>
          </cell>
          <cell r="G127" t="str">
            <v>พนักงานทั่วไป</v>
          </cell>
        </row>
        <row r="128">
          <cell r="B128" t="str">
            <v>5907002</v>
          </cell>
          <cell r="C128" t="str">
            <v>นายอำนาจ   แก่นจันทร์</v>
          </cell>
          <cell r="D128" t="str">
            <v>QA/QC</v>
          </cell>
          <cell r="E128" t="str">
            <v>รายเดือน</v>
          </cell>
          <cell r="F128" t="str">
            <v>CAR</v>
          </cell>
          <cell r="G128" t="str">
            <v>เจ้าหน้าที่</v>
          </cell>
        </row>
        <row r="129">
          <cell r="B129" t="str">
            <v>5908002</v>
          </cell>
          <cell r="C129" t="str">
            <v>นายพัลลภ   ถนอมสิน</v>
          </cell>
          <cell r="D129" t="str">
            <v>FMG-B</v>
          </cell>
          <cell r="E129" t="str">
            <v>รายเดือน</v>
          </cell>
          <cell r="F129" t="str">
            <v>CAR</v>
          </cell>
          <cell r="G129" t="str">
            <v>พนักงานทั่วไป</v>
          </cell>
        </row>
        <row r="130">
          <cell r="B130" t="str">
            <v>5908008</v>
          </cell>
          <cell r="C130" t="str">
            <v>นายพัลลภ บรรลือนุชรี</v>
          </cell>
          <cell r="D130" t="str">
            <v>MK</v>
          </cell>
          <cell r="E130" t="str">
            <v>รายเดือน</v>
          </cell>
          <cell r="F130" t="str">
            <v>CAR</v>
          </cell>
          <cell r="G130" t="str">
            <v>ผู้จัดการแผนก</v>
          </cell>
        </row>
        <row r="131">
          <cell r="B131" t="str">
            <v>5908009</v>
          </cell>
          <cell r="C131" t="str">
            <v>นางสาวนันทวรรณ   สมบัติหอม</v>
          </cell>
          <cell r="D131" t="str">
            <v>FNG-6</v>
          </cell>
          <cell r="E131" t="str">
            <v>รายเดือน</v>
          </cell>
          <cell r="F131" t="str">
            <v>CAR</v>
          </cell>
          <cell r="G131" t="str">
            <v>พนักงานทั่วไป</v>
          </cell>
        </row>
        <row r="132">
          <cell r="B132" t="str">
            <v>5909005</v>
          </cell>
          <cell r="C132" t="str">
            <v>นายดนุสรณ์   หอมสวาสดิ์</v>
          </cell>
          <cell r="D132" t="str">
            <v>FNG-4</v>
          </cell>
          <cell r="E132" t="str">
            <v>รายเดือน</v>
          </cell>
          <cell r="F132" t="str">
            <v>CAR</v>
          </cell>
          <cell r="G132" t="str">
            <v>พนักงานทั่วไป</v>
          </cell>
        </row>
        <row r="133">
          <cell r="B133" t="str">
            <v>5910002</v>
          </cell>
          <cell r="C133" t="str">
            <v>นายแสนศักดิ์   ยิ่งได้ชม</v>
          </cell>
          <cell r="D133" t="str">
            <v>MIX</v>
          </cell>
          <cell r="E133" t="str">
            <v>รายเดือน</v>
          </cell>
          <cell r="F133" t="str">
            <v>CAR</v>
          </cell>
          <cell r="G133" t="str">
            <v>พนักงานทั่วไป</v>
          </cell>
        </row>
        <row r="134">
          <cell r="B134" t="str">
            <v>5912001</v>
          </cell>
          <cell r="C134" t="str">
            <v>นางสาวณัฐนันท์   ผลทิพย์</v>
          </cell>
          <cell r="D134" t="str">
            <v>FIN&amp;ACC</v>
          </cell>
          <cell r="E134" t="str">
            <v>รายเดือน</v>
          </cell>
          <cell r="F134" t="str">
            <v>CAR</v>
          </cell>
          <cell r="G134" t="str">
            <v>หัวหน้าแผนก</v>
          </cell>
        </row>
        <row r="135">
          <cell r="B135" t="str">
            <v>5912002</v>
          </cell>
          <cell r="C135" t="str">
            <v>นายเอกรัตน์   บุญเรือง</v>
          </cell>
          <cell r="D135" t="str">
            <v>FMG-A</v>
          </cell>
          <cell r="E135" t="str">
            <v>รายเดือน</v>
          </cell>
          <cell r="F135" t="str">
            <v>CAR</v>
          </cell>
          <cell r="G135" t="str">
            <v>พนักงานทั่วไป</v>
          </cell>
        </row>
        <row r="136">
          <cell r="B136" t="str">
            <v>6002010</v>
          </cell>
          <cell r="C136" t="str">
            <v>นางธมกร   แก้วลอย</v>
          </cell>
          <cell r="D136" t="str">
            <v>NT</v>
          </cell>
          <cell r="E136" t="str">
            <v>รายเดือน</v>
          </cell>
          <cell r="F136" t="str">
            <v>CAR</v>
          </cell>
          <cell r="G136" t="str">
            <v>พนักงานทั่วไป</v>
          </cell>
        </row>
        <row r="137">
          <cell r="B137" t="str">
            <v>6002013</v>
          </cell>
          <cell r="C137" t="str">
            <v>นายสะใหน   จำปาพันธ์</v>
          </cell>
          <cell r="D137" t="str">
            <v>FMG-B</v>
          </cell>
          <cell r="E137" t="str">
            <v>รายเดือน</v>
          </cell>
          <cell r="F137" t="str">
            <v>CAR</v>
          </cell>
          <cell r="G137" t="str">
            <v>พนักงานทั่วไป</v>
          </cell>
        </row>
        <row r="138">
          <cell r="B138" t="str">
            <v>6003021</v>
          </cell>
          <cell r="C138" t="str">
            <v>นางสาวชัญญ์ชนพร   ศรีสุข</v>
          </cell>
          <cell r="D138" t="str">
            <v>EXT</v>
          </cell>
          <cell r="E138" t="str">
            <v>รายเดือน</v>
          </cell>
          <cell r="F138" t="str">
            <v>CAR</v>
          </cell>
          <cell r="G138" t="str">
            <v>พนักงานทั่วไป</v>
          </cell>
        </row>
        <row r="139">
          <cell r="B139" t="str">
            <v>6005010</v>
          </cell>
          <cell r="C139" t="str">
            <v>นางสาวศิริวรรณ   สุวิสุทธิ์</v>
          </cell>
          <cell r="D139" t="str">
            <v>HR&amp;GA/ IT</v>
          </cell>
          <cell r="E139" t="str">
            <v>รายเดือน</v>
          </cell>
          <cell r="F139" t="str">
            <v>CAR</v>
          </cell>
          <cell r="G139" t="str">
            <v>เจ้าหน้าที่บุคคลและธุรการ</v>
          </cell>
        </row>
        <row r="140">
          <cell r="B140" t="str">
            <v>6006006</v>
          </cell>
          <cell r="C140" t="str">
            <v>นางสาวชลธิชา   พานทอง</v>
          </cell>
          <cell r="D140" t="str">
            <v>PC</v>
          </cell>
          <cell r="E140" t="str">
            <v>รายเดือน</v>
          </cell>
          <cell r="F140" t="str">
            <v>CAR</v>
          </cell>
          <cell r="G140" t="str">
            <v>เจ้าหน้าที่อาวุโส</v>
          </cell>
        </row>
        <row r="141">
          <cell r="B141" t="str">
            <v>6101009</v>
          </cell>
          <cell r="C141" t="str">
            <v>นางสาวขวัญฤทัย คำเมืองใจ</v>
          </cell>
          <cell r="D141" t="str">
            <v>MK</v>
          </cell>
          <cell r="E141" t="str">
            <v>รายเดือน</v>
          </cell>
          <cell r="F141" t="str">
            <v>CAR</v>
          </cell>
          <cell r="G141" t="str">
            <v>หัวหน้าแผนก</v>
          </cell>
        </row>
        <row r="142">
          <cell r="B142" t="str">
            <v>6101019</v>
          </cell>
          <cell r="C142" t="str">
            <v>นายศรายุ   อินแตง</v>
          </cell>
          <cell r="D142" t="str">
            <v>QA/QC</v>
          </cell>
          <cell r="E142" t="str">
            <v>รายเดือน</v>
          </cell>
          <cell r="F142" t="str">
            <v>CAR</v>
          </cell>
          <cell r="G142" t="str">
            <v>พนักงานทั่วไป</v>
          </cell>
        </row>
        <row r="143">
          <cell r="B143" t="str">
            <v>6102004</v>
          </cell>
          <cell r="C143" t="str">
            <v>นางสาวไพลิน   บุญรอด</v>
          </cell>
          <cell r="D143" t="str">
            <v>FIN&amp;ACC</v>
          </cell>
          <cell r="E143" t="str">
            <v>รายเดือน</v>
          </cell>
          <cell r="F143" t="str">
            <v>CAR</v>
          </cell>
          <cell r="G143" t="str">
            <v>เจ้าหน้าที่อาวุโส</v>
          </cell>
        </row>
        <row r="144">
          <cell r="B144" t="str">
            <v>6103002</v>
          </cell>
          <cell r="C144" t="str">
            <v>นางสาวณัฐฐินันท์   ภูผาเงิน</v>
          </cell>
          <cell r="D144" t="str">
            <v>QA/QC</v>
          </cell>
          <cell r="E144" t="str">
            <v>รายเดือน</v>
          </cell>
          <cell r="F144" t="str">
            <v>CAR</v>
          </cell>
          <cell r="G144" t="str">
            <v>เจ้าหน้าที่ธุรการ</v>
          </cell>
        </row>
        <row r="145">
          <cell r="B145" t="str">
            <v>6103022</v>
          </cell>
          <cell r="C145" t="str">
            <v>นายณัฐพล   สติปัญญา</v>
          </cell>
          <cell r="D145" t="str">
            <v>MT</v>
          </cell>
          <cell r="E145" t="str">
            <v>รายเดือน</v>
          </cell>
          <cell r="F145" t="str">
            <v>CAR</v>
          </cell>
          <cell r="G145" t="str">
            <v>ช่างซ่อมบำรุง</v>
          </cell>
        </row>
        <row r="146">
          <cell r="B146" t="str">
            <v>6104012</v>
          </cell>
          <cell r="C146" t="str">
            <v>นายทรัพย์   อำนวย</v>
          </cell>
          <cell r="D146" t="str">
            <v>MT</v>
          </cell>
          <cell r="E146" t="str">
            <v>รายเดือน</v>
          </cell>
          <cell r="F146" t="str">
            <v>CAR</v>
          </cell>
          <cell r="G146" t="str">
            <v>หัวหน้าแผนก</v>
          </cell>
        </row>
        <row r="147">
          <cell r="B147" t="str">
            <v>6106001</v>
          </cell>
          <cell r="C147" t="str">
            <v>นายชาคริต   เกตุแก้วมณี</v>
          </cell>
          <cell r="D147" t="str">
            <v>HR&amp;GA/ IT</v>
          </cell>
          <cell r="E147" t="str">
            <v>รายเดือน</v>
          </cell>
          <cell r="F147" t="str">
            <v>CAR</v>
          </cell>
          <cell r="G147" t="str">
            <v>IT Support</v>
          </cell>
        </row>
        <row r="148">
          <cell r="B148" t="str">
            <v>6106003</v>
          </cell>
          <cell r="C148" t="str">
            <v>นายรัฐพล   บัวพา</v>
          </cell>
          <cell r="D148" t="str">
            <v>R &amp; D</v>
          </cell>
          <cell r="E148" t="str">
            <v>รายเดือน</v>
          </cell>
          <cell r="F148" t="str">
            <v>CAR</v>
          </cell>
          <cell r="G148" t="str">
            <v>ผู้จัดการแผนก</v>
          </cell>
        </row>
        <row r="149">
          <cell r="B149" t="str">
            <v>6107001</v>
          </cell>
          <cell r="C149" t="str">
            <v>นางสาวธนาภรณ์   คูณคง</v>
          </cell>
          <cell r="D149" t="str">
            <v>HR&amp;GA/ IT</v>
          </cell>
          <cell r="E149" t="str">
            <v>รายเดือน</v>
          </cell>
          <cell r="F149" t="str">
            <v>CAR</v>
          </cell>
          <cell r="G149" t="str">
            <v>เจ้าหน้าที่ จป.</v>
          </cell>
        </row>
        <row r="150">
          <cell r="B150" t="str">
            <v>6111001</v>
          </cell>
          <cell r="C150" t="str">
            <v>นายอุเทน   แก้มทอง</v>
          </cell>
          <cell r="D150" t="str">
            <v>EXT</v>
          </cell>
          <cell r="E150" t="str">
            <v>รายเดือน</v>
          </cell>
          <cell r="F150" t="str">
            <v>CAR</v>
          </cell>
          <cell r="G150" t="str">
            <v>พนักงานทั่วไป</v>
          </cell>
        </row>
        <row r="151">
          <cell r="B151" t="str">
            <v>6111003</v>
          </cell>
          <cell r="C151" t="str">
            <v>นายโสภณ   พยับกลาง</v>
          </cell>
          <cell r="D151" t="str">
            <v>EXT</v>
          </cell>
          <cell r="E151" t="str">
            <v>รายเดือน</v>
          </cell>
          <cell r="F151" t="str">
            <v>CAR</v>
          </cell>
          <cell r="G151" t="str">
            <v>พนักงานทั่วไป</v>
          </cell>
        </row>
        <row r="152">
          <cell r="B152" t="str">
            <v>6111005</v>
          </cell>
          <cell r="C152" t="str">
            <v>นายวุฒิชัย   เครือบุตร</v>
          </cell>
          <cell r="D152" t="str">
            <v>EXT</v>
          </cell>
          <cell r="E152" t="str">
            <v>รายเดือน</v>
          </cell>
          <cell r="F152" t="str">
            <v>CAR</v>
          </cell>
          <cell r="G152" t="str">
            <v>พนักงานทั่วไป</v>
          </cell>
        </row>
        <row r="153">
          <cell r="B153" t="str">
            <v>6201021</v>
          </cell>
          <cell r="C153" t="str">
            <v>นายประยัติ   ภูสีเงิน</v>
          </cell>
          <cell r="D153" t="str">
            <v>FMG-A</v>
          </cell>
          <cell r="E153" t="str">
            <v>รายเดือน</v>
          </cell>
          <cell r="F153" t="str">
            <v>CAR</v>
          </cell>
          <cell r="G153" t="str">
            <v>พนักงานทั่วไป</v>
          </cell>
        </row>
        <row r="154">
          <cell r="B154" t="str">
            <v>6203007</v>
          </cell>
          <cell r="C154" t="str">
            <v>นางสาวศศิลักษณ์   ชีทอง</v>
          </cell>
          <cell r="D154" t="str">
            <v>EN</v>
          </cell>
          <cell r="E154" t="str">
            <v>รายเดือน</v>
          </cell>
          <cell r="F154" t="str">
            <v>CAR</v>
          </cell>
          <cell r="G154" t="str">
            <v>เจ้าหน้าที่</v>
          </cell>
        </row>
        <row r="155">
          <cell r="B155" t="str">
            <v>6205005</v>
          </cell>
          <cell r="C155" t="str">
            <v>นางสาวอรณีย์   เติมวุฒิ</v>
          </cell>
          <cell r="D155" t="str">
            <v>EXT</v>
          </cell>
          <cell r="E155" t="str">
            <v>รายเดือน</v>
          </cell>
          <cell r="F155" t="str">
            <v>CAR</v>
          </cell>
          <cell r="G155" t="str">
            <v>พนักงานทั่วไป</v>
          </cell>
        </row>
        <row r="156">
          <cell r="B156" t="str">
            <v>6205008</v>
          </cell>
          <cell r="C156" t="str">
            <v>นางสาวขนิษฐา   ผาสุข</v>
          </cell>
          <cell r="D156" t="str">
            <v>EXT</v>
          </cell>
          <cell r="E156" t="str">
            <v>รายเดือน</v>
          </cell>
          <cell r="F156" t="str">
            <v>CAR</v>
          </cell>
          <cell r="G156" t="str">
            <v>พนักงานทั่วไป</v>
          </cell>
        </row>
        <row r="157">
          <cell r="B157" t="str">
            <v>6207002</v>
          </cell>
          <cell r="C157" t="str">
            <v>นายภานุเดช   คนไว</v>
          </cell>
          <cell r="D157" t="str">
            <v>EN</v>
          </cell>
          <cell r="E157" t="str">
            <v>รายเดือน</v>
          </cell>
          <cell r="F157" t="str">
            <v>CAR</v>
          </cell>
          <cell r="G157" t="str">
            <v>ช่างเทคนิค</v>
          </cell>
        </row>
        <row r="158">
          <cell r="B158" t="str">
            <v>6207004</v>
          </cell>
          <cell r="C158" t="str">
            <v>นางสาวชุลีกร ชาญวราห์กุล</v>
          </cell>
          <cell r="D158" t="str">
            <v>MK</v>
          </cell>
          <cell r="E158" t="str">
            <v>รายเดือน</v>
          </cell>
          <cell r="F158" t="str">
            <v>CAR</v>
          </cell>
          <cell r="G158" t="str">
            <v>เจ้าหน้าที่</v>
          </cell>
        </row>
        <row r="159">
          <cell r="B159" t="str">
            <v>6209010</v>
          </cell>
          <cell r="C159" t="str">
            <v>นางสาวณัฐพร   สุขเจริญ</v>
          </cell>
          <cell r="D159" t="str">
            <v>R &amp; D</v>
          </cell>
          <cell r="E159" t="str">
            <v>รายเดือน</v>
          </cell>
          <cell r="F159" t="str">
            <v>CAR</v>
          </cell>
          <cell r="G159" t="str">
            <v>เจ้าหน้าที่</v>
          </cell>
        </row>
        <row r="160">
          <cell r="B160" t="str">
            <v>6301002</v>
          </cell>
          <cell r="C160" t="str">
            <v>นายสุรกิตติ์   กำแพงแก้ว</v>
          </cell>
          <cell r="D160" t="str">
            <v>R &amp; D</v>
          </cell>
          <cell r="E160" t="str">
            <v>รายเดือน</v>
          </cell>
          <cell r="F160" t="str">
            <v>CAR</v>
          </cell>
          <cell r="G160" t="str">
            <v>หัวหน้าแผนก</v>
          </cell>
        </row>
        <row r="161">
          <cell r="B161" t="str">
            <v>6301027</v>
          </cell>
          <cell r="C161" t="str">
            <v>นายศราวุธ   วังสันต์</v>
          </cell>
          <cell r="D161" t="str">
            <v>FMG-B</v>
          </cell>
          <cell r="E161" t="str">
            <v>รายเดือน</v>
          </cell>
          <cell r="F161" t="str">
            <v>CAR</v>
          </cell>
          <cell r="G161" t="str">
            <v>พนักงานทั่วไป</v>
          </cell>
        </row>
        <row r="162">
          <cell r="B162" t="str">
            <v>6301041</v>
          </cell>
          <cell r="C162" t="str">
            <v>นางสาวปาณิสรา   พยับกลาง</v>
          </cell>
          <cell r="D162" t="str">
            <v>PD</v>
          </cell>
          <cell r="E162" t="str">
            <v>รายเดือน</v>
          </cell>
          <cell r="F162" t="str">
            <v>CAR</v>
          </cell>
          <cell r="G162" t="str">
            <v>พนักงานธุรการ</v>
          </cell>
        </row>
        <row r="163">
          <cell r="B163" t="str">
            <v>6301046</v>
          </cell>
          <cell r="C163" t="str">
            <v>นางสาวอรอนงค์   กลั่นสาน</v>
          </cell>
          <cell r="D163" t="str">
            <v>R &amp; D</v>
          </cell>
          <cell r="E163" t="str">
            <v>รายเดือน</v>
          </cell>
          <cell r="F163" t="str">
            <v>CAR</v>
          </cell>
          <cell r="G163" t="str">
            <v>วิศวกร</v>
          </cell>
        </row>
        <row r="164">
          <cell r="B164" t="str">
            <v>6301049</v>
          </cell>
          <cell r="C164" t="str">
            <v>นายวัชรินทร์   สมศรี</v>
          </cell>
          <cell r="D164" t="str">
            <v>FMG-A</v>
          </cell>
          <cell r="E164" t="str">
            <v>รายเดือน</v>
          </cell>
          <cell r="F164" t="str">
            <v>CAR</v>
          </cell>
          <cell r="G164" t="str">
            <v>พนักงานทั่วไป</v>
          </cell>
        </row>
        <row r="165">
          <cell r="B165" t="str">
            <v>6302005</v>
          </cell>
          <cell r="C165" t="str">
            <v>นางสาวสุภาพร   ดิษฐเจริญ</v>
          </cell>
          <cell r="D165" t="str">
            <v>EN</v>
          </cell>
          <cell r="E165" t="str">
            <v>รายเดือน</v>
          </cell>
          <cell r="F165" t="str">
            <v>CAR</v>
          </cell>
          <cell r="G165" t="str">
            <v>หัวหน้าแผนก</v>
          </cell>
        </row>
        <row r="166">
          <cell r="B166" t="str">
            <v>6302016</v>
          </cell>
          <cell r="C166" t="str">
            <v>นางสาวรมิตา   มุสิกพงศ์</v>
          </cell>
          <cell r="D166" t="str">
            <v>HR&amp;GA/ IT</v>
          </cell>
          <cell r="E166" t="str">
            <v>รายเดือน</v>
          </cell>
          <cell r="F166" t="str">
            <v>CAR</v>
          </cell>
          <cell r="G166" t="str">
            <v>เลขานุการ MD</v>
          </cell>
        </row>
        <row r="167">
          <cell r="B167" t="str">
            <v>6303030</v>
          </cell>
          <cell r="C167" t="str">
            <v>นายประสด   แรงจบ</v>
          </cell>
          <cell r="D167" t="str">
            <v>CUT</v>
          </cell>
          <cell r="E167" t="str">
            <v>รายวัน</v>
          </cell>
          <cell r="F167" t="str">
            <v>CAR</v>
          </cell>
          <cell r="G167" t="str">
            <v>พนักงานทั่วไป</v>
          </cell>
        </row>
        <row r="168">
          <cell r="B168" t="str">
            <v>6308008</v>
          </cell>
          <cell r="C168" t="str">
            <v>นายธีรพันธ์   ดวงศรี</v>
          </cell>
          <cell r="D168" t="str">
            <v>FMG-A</v>
          </cell>
          <cell r="E168" t="str">
            <v>รายวัน</v>
          </cell>
          <cell r="F168" t="str">
            <v>CAR</v>
          </cell>
          <cell r="G168" t="str">
            <v>พนักงานทั่วไป</v>
          </cell>
        </row>
        <row r="169">
          <cell r="B169" t="str">
            <v>6309006</v>
          </cell>
          <cell r="C169" t="str">
            <v>นางสาว  ลัดดารัตน์   ชัยวิเศษ</v>
          </cell>
          <cell r="D169" t="str">
            <v>FNG-4</v>
          </cell>
          <cell r="E169" t="str">
            <v>รายเดือน</v>
          </cell>
          <cell r="F169" t="str">
            <v>CAR</v>
          </cell>
          <cell r="G169" t="str">
            <v>พนักงานทั่วไป</v>
          </cell>
        </row>
        <row r="170">
          <cell r="B170" t="str">
            <v>6309013</v>
          </cell>
          <cell r="C170" t="str">
            <v>นาย  ยิ่ง   ทององค์</v>
          </cell>
          <cell r="D170" t="str">
            <v>FMG-B</v>
          </cell>
          <cell r="E170" t="str">
            <v>รายวัน</v>
          </cell>
          <cell r="F170" t="str">
            <v>CAR</v>
          </cell>
          <cell r="G170" t="str">
            <v>พนักงานทั่วไป</v>
          </cell>
        </row>
        <row r="171">
          <cell r="B171" t="str">
            <v>6309022</v>
          </cell>
          <cell r="C171" t="str">
            <v>นาย  ขวัญชัย   ก้อมมะณี</v>
          </cell>
          <cell r="D171" t="str">
            <v>MT</v>
          </cell>
          <cell r="E171" t="str">
            <v>รายเดือน</v>
          </cell>
          <cell r="F171" t="str">
            <v>CAR</v>
          </cell>
          <cell r="G171" t="str">
            <v>ช่างซ่อมบำรุง</v>
          </cell>
        </row>
        <row r="172">
          <cell r="B172" t="str">
            <v>6309027</v>
          </cell>
          <cell r="C172" t="str">
            <v>นาย  วิทยา   ยวงมณี</v>
          </cell>
          <cell r="D172" t="str">
            <v>PD</v>
          </cell>
          <cell r="E172" t="str">
            <v>รายเดือน</v>
          </cell>
          <cell r="F172" t="str">
            <v>CAR</v>
          </cell>
          <cell r="G172" t="str">
            <v>ผู้ช่วยหัวหน้าหน่วย</v>
          </cell>
        </row>
        <row r="173">
          <cell r="B173" t="str">
            <v>6309032</v>
          </cell>
          <cell r="C173" t="str">
            <v>นาย  สดุดี   บุญยะพรรค</v>
          </cell>
          <cell r="D173" t="str">
            <v>EN</v>
          </cell>
          <cell r="E173" t="str">
            <v>รายเดือน</v>
          </cell>
          <cell r="F173" t="str">
            <v>CAR</v>
          </cell>
          <cell r="G173" t="str">
            <v>ผู้จัดการแผนก</v>
          </cell>
        </row>
        <row r="174">
          <cell r="B174" t="str">
            <v>6309042</v>
          </cell>
          <cell r="C174" t="str">
            <v>นางสาว  ผกามาศ   ขัติยศ</v>
          </cell>
          <cell r="D174" t="str">
            <v>PC</v>
          </cell>
          <cell r="E174" t="str">
            <v>รายเดือน</v>
          </cell>
          <cell r="F174" t="str">
            <v>CAR</v>
          </cell>
          <cell r="G174" t="str">
            <v>เจ้าหน้าที่</v>
          </cell>
        </row>
        <row r="175">
          <cell r="B175" t="str">
            <v>6309052</v>
          </cell>
          <cell r="C175" t="str">
            <v>นาง  กรรณิกา   ขีดแก้ว</v>
          </cell>
          <cell r="D175" t="str">
            <v>FNG-4</v>
          </cell>
          <cell r="E175" t="str">
            <v>รายวัน</v>
          </cell>
          <cell r="F175" t="str">
            <v>CAR</v>
          </cell>
          <cell r="G175" t="str">
            <v>พนักงานทั่วไป</v>
          </cell>
        </row>
        <row r="176">
          <cell r="B176" t="str">
            <v>6309056</v>
          </cell>
          <cell r="C176" t="str">
            <v>นาย  พงษ์ศักดิ์   เชื้อแก้ว</v>
          </cell>
          <cell r="D176" t="str">
            <v>FMG-A</v>
          </cell>
          <cell r="E176" t="str">
            <v>รายวัน</v>
          </cell>
          <cell r="F176" t="str">
            <v>CAR</v>
          </cell>
          <cell r="G176" t="str">
            <v>พนักงานทั่วไป</v>
          </cell>
        </row>
        <row r="177">
          <cell r="B177" t="str">
            <v>6310001</v>
          </cell>
          <cell r="C177" t="str">
            <v>นาย  มงคล   เนตรใส</v>
          </cell>
          <cell r="D177" t="str">
            <v>QA/QC</v>
          </cell>
          <cell r="E177" t="str">
            <v>รายเดือน</v>
          </cell>
          <cell r="F177" t="str">
            <v>CAR</v>
          </cell>
          <cell r="G177" t="str">
            <v>QA Inspector</v>
          </cell>
        </row>
        <row r="178">
          <cell r="B178" t="str">
            <v>6310005</v>
          </cell>
          <cell r="C178" t="str">
            <v>นางสาว  เสาวลักษณ์   สดเสมอ</v>
          </cell>
          <cell r="D178" t="str">
            <v>FNG-4</v>
          </cell>
          <cell r="E178" t="str">
            <v>รายเดือน</v>
          </cell>
          <cell r="F178" t="str">
            <v>CAR</v>
          </cell>
          <cell r="G178" t="str">
            <v>พนักงานทั่วไป</v>
          </cell>
        </row>
        <row r="179">
          <cell r="B179" t="str">
            <v>6310006</v>
          </cell>
          <cell r="C179" t="str">
            <v>นางสาว  เดือนเพ็ญ   สีหาเวช</v>
          </cell>
          <cell r="D179" t="str">
            <v>FNG-1</v>
          </cell>
          <cell r="E179" t="str">
            <v>รายเดือน</v>
          </cell>
          <cell r="F179" t="str">
            <v>CAR</v>
          </cell>
          <cell r="G179" t="str">
            <v>พนักงานทั่วไป</v>
          </cell>
        </row>
        <row r="180">
          <cell r="B180" t="str">
            <v>6310015</v>
          </cell>
          <cell r="C180" t="str">
            <v>นาย  สุริยะ   แก้วธานี</v>
          </cell>
          <cell r="D180" t="str">
            <v>QA/QC</v>
          </cell>
          <cell r="E180" t="str">
            <v>รายเดือน</v>
          </cell>
          <cell r="F180" t="str">
            <v>CAR</v>
          </cell>
          <cell r="G180" t="str">
            <v>หัวหน้าแผนก</v>
          </cell>
        </row>
        <row r="181">
          <cell r="B181" t="str">
            <v>6310017</v>
          </cell>
          <cell r="C181" t="str">
            <v>นาย  สมศักดิ์   ดาวชัย</v>
          </cell>
          <cell r="D181" t="str">
            <v>FMG-A</v>
          </cell>
          <cell r="E181" t="str">
            <v>รายวัน</v>
          </cell>
          <cell r="F181" t="str">
            <v>CAR</v>
          </cell>
          <cell r="G181" t="str">
            <v>พนักงานทั่วไป</v>
          </cell>
        </row>
        <row r="182">
          <cell r="B182" t="str">
            <v>6310020</v>
          </cell>
          <cell r="C182" t="str">
            <v>นาย  พีรพล   คิดรอบ</v>
          </cell>
          <cell r="D182" t="str">
            <v>FMG-A</v>
          </cell>
          <cell r="E182" t="str">
            <v>รายวัน</v>
          </cell>
          <cell r="F182" t="str">
            <v>CAR</v>
          </cell>
          <cell r="G182" t="str">
            <v>พนักงานทั่วไป</v>
          </cell>
        </row>
        <row r="183">
          <cell r="B183" t="str">
            <v>6310027</v>
          </cell>
          <cell r="C183" t="str">
            <v>นางสาว  ลลิตา   ศรีปัญญา</v>
          </cell>
          <cell r="D183" t="str">
            <v>EN</v>
          </cell>
          <cell r="E183" t="str">
            <v>รายวัน</v>
          </cell>
          <cell r="F183" t="str">
            <v>CAR</v>
          </cell>
          <cell r="G183" t="str">
            <v>พนักงานทั่วไป</v>
          </cell>
        </row>
        <row r="184">
          <cell r="B184" t="str">
            <v>6311001</v>
          </cell>
          <cell r="C184" t="str">
            <v>นาย  ธีรชัย   ศิริวัฒนสกุล</v>
          </cell>
          <cell r="D184" t="str">
            <v>MGT</v>
          </cell>
          <cell r="E184" t="str">
            <v>รายเดือน</v>
          </cell>
          <cell r="F184" t="str">
            <v>CAR</v>
          </cell>
          <cell r="G184" t="str">
            <v>ผู้จัดการทั่วไป</v>
          </cell>
        </row>
        <row r="185">
          <cell r="B185" t="str">
            <v>6311002</v>
          </cell>
          <cell r="C185" t="str">
            <v>นางสาว  ศิริพร   เฉลยอาจ</v>
          </cell>
          <cell r="D185" t="str">
            <v>QA/QC</v>
          </cell>
          <cell r="E185" t="str">
            <v>รายเดือน</v>
          </cell>
          <cell r="F185" t="str">
            <v>CAR</v>
          </cell>
          <cell r="G185" t="str">
            <v>เจ้าหน้าที่อาวุโส</v>
          </cell>
        </row>
        <row r="186">
          <cell r="B186" t="str">
            <v>6311003</v>
          </cell>
          <cell r="C186" t="str">
            <v>นางสาว  กมลชนก   แซ่โค้ว</v>
          </cell>
          <cell r="D186" t="str">
            <v>EN</v>
          </cell>
          <cell r="E186" t="str">
            <v>รายเดือน</v>
          </cell>
          <cell r="F186" t="str">
            <v>CAR</v>
          </cell>
          <cell r="G186" t="str">
            <v>วิศวกร</v>
          </cell>
        </row>
        <row r="187">
          <cell r="B187" t="str">
            <v>6311005S</v>
          </cell>
          <cell r="C187" t="str">
            <v>นาย  กิตติพงษ์   ใจเปี้ย</v>
          </cell>
          <cell r="D187" t="str">
            <v>FMG-B</v>
          </cell>
          <cell r="E187" t="str">
            <v>รายวัน</v>
          </cell>
          <cell r="F187" t="str">
            <v>Trainees</v>
          </cell>
          <cell r="G187" t="str">
            <v>นักศึกษาฝึกงาน</v>
          </cell>
        </row>
        <row r="188">
          <cell r="B188" t="str">
            <v>6311006S</v>
          </cell>
          <cell r="C188" t="str">
            <v>นาย  ธีรวัต   ถาอิ่นแก้ว</v>
          </cell>
          <cell r="D188" t="str">
            <v>STO</v>
          </cell>
          <cell r="E188" t="str">
            <v>รายวัน</v>
          </cell>
          <cell r="F188" t="str">
            <v>Trainees</v>
          </cell>
          <cell r="G188" t="str">
            <v>นักศึกษาฝึกงาน</v>
          </cell>
        </row>
        <row r="189">
          <cell r="B189" t="str">
            <v>6311007S</v>
          </cell>
          <cell r="C189" t="str">
            <v>นาย  มนพ   ยศศิริ</v>
          </cell>
          <cell r="D189" t="str">
            <v>FMG-B</v>
          </cell>
          <cell r="E189" t="str">
            <v>รายวัน</v>
          </cell>
          <cell r="F189" t="str">
            <v>Trainees</v>
          </cell>
          <cell r="G189" t="str">
            <v>นักศึกษาฝึกงาน</v>
          </cell>
        </row>
        <row r="190">
          <cell r="B190" t="str">
            <v>6311008S</v>
          </cell>
          <cell r="C190" t="str">
            <v>นาย  ศรัณย์   แว่นแก้ว</v>
          </cell>
          <cell r="D190" t="str">
            <v>EXT</v>
          </cell>
          <cell r="E190" t="str">
            <v>รายวัน</v>
          </cell>
          <cell r="F190" t="str">
            <v>Trainees</v>
          </cell>
          <cell r="G190" t="str">
            <v>นักศึกษาฝึกงาน</v>
          </cell>
        </row>
        <row r="191">
          <cell r="B191" t="str">
            <v>6311009S</v>
          </cell>
          <cell r="C191" t="str">
            <v>นาย  ธีรภัทธ์   จองไฟ</v>
          </cell>
          <cell r="D191" t="str">
            <v>FMG-A</v>
          </cell>
          <cell r="E191" t="str">
            <v>รายวัน</v>
          </cell>
          <cell r="F191" t="str">
            <v>Trainees</v>
          </cell>
          <cell r="G191" t="str">
            <v>นักศึกษาฝึกงาน</v>
          </cell>
        </row>
        <row r="192">
          <cell r="B192" t="str">
            <v>6311010S</v>
          </cell>
          <cell r="C192" t="str">
            <v>นาย  พิทักษ์   ยะคำ</v>
          </cell>
          <cell r="D192" t="str">
            <v>EXT</v>
          </cell>
          <cell r="E192" t="str">
            <v>รายวัน</v>
          </cell>
          <cell r="F192" t="str">
            <v>Trainees</v>
          </cell>
          <cell r="G192" t="str">
            <v>นักศึกษาฝึกงาน</v>
          </cell>
        </row>
        <row r="193">
          <cell r="B193" t="str">
            <v>6311011S</v>
          </cell>
          <cell r="C193" t="str">
            <v>นาย  ยุทธศักดิ์   ดอกสุข</v>
          </cell>
          <cell r="D193" t="str">
            <v>EN</v>
          </cell>
          <cell r="E193" t="str">
            <v>รายวัน</v>
          </cell>
          <cell r="F193" t="str">
            <v>Trainees</v>
          </cell>
          <cell r="G193" t="str">
            <v>นักศึกษาฝึกงาน</v>
          </cell>
        </row>
        <row r="194">
          <cell r="B194" t="str">
            <v>6311012S</v>
          </cell>
          <cell r="C194" t="str">
            <v>นาย  ธีรนันท์   แก้วเสริม</v>
          </cell>
          <cell r="D194" t="str">
            <v>FMG-A</v>
          </cell>
          <cell r="E194" t="str">
            <v>รายวัน</v>
          </cell>
          <cell r="F194" t="str">
            <v>Trainees</v>
          </cell>
          <cell r="G194" t="str">
            <v>นักศึกษาฝึกงาน</v>
          </cell>
        </row>
        <row r="195">
          <cell r="B195" t="str">
            <v>6311013S</v>
          </cell>
          <cell r="C195" t="str">
            <v>นาย  รังษิมันต์   เสมอหน้า</v>
          </cell>
          <cell r="D195" t="str">
            <v>FMG-A</v>
          </cell>
          <cell r="E195" t="str">
            <v>รายวัน</v>
          </cell>
          <cell r="F195" t="str">
            <v>Trainees</v>
          </cell>
          <cell r="G195" t="str">
            <v>นักศึกษาฝึกงาน</v>
          </cell>
        </row>
        <row r="196">
          <cell r="B196" t="str">
            <v>6311014S</v>
          </cell>
          <cell r="C196" t="str">
            <v>นาย  สุริยา   น้อยเชียงคูณ</v>
          </cell>
          <cell r="D196" t="str">
            <v>QA/QC</v>
          </cell>
          <cell r="E196" t="str">
            <v>รายวัน</v>
          </cell>
          <cell r="F196" t="str">
            <v>Trainees</v>
          </cell>
          <cell r="G196" t="str">
            <v>นักศึกษาฝึกงาน</v>
          </cell>
        </row>
        <row r="197">
          <cell r="B197" t="str">
            <v>6311015S</v>
          </cell>
          <cell r="C197" t="str">
            <v>นาย  จักรณรงค์   เทพโอธา</v>
          </cell>
          <cell r="D197" t="str">
            <v>EXT</v>
          </cell>
          <cell r="E197" t="str">
            <v>รายวัน</v>
          </cell>
          <cell r="F197" t="str">
            <v>Trainees</v>
          </cell>
          <cell r="G197" t="str">
            <v>นักศึกษาฝึกงาน</v>
          </cell>
        </row>
        <row r="198">
          <cell r="B198" t="str">
            <v>6311016S</v>
          </cell>
          <cell r="C198" t="str">
            <v>นาย  ธนวัฒน์   บานเย็น</v>
          </cell>
          <cell r="D198" t="str">
            <v>STO</v>
          </cell>
          <cell r="E198" t="str">
            <v>รายวัน</v>
          </cell>
          <cell r="F198" t="str">
            <v>Trainees</v>
          </cell>
          <cell r="G198" t="str">
            <v>นักศึกษาฝึกงาน</v>
          </cell>
        </row>
        <row r="199">
          <cell r="B199" t="str">
            <v>6311017S</v>
          </cell>
          <cell r="C199" t="str">
            <v>นาย  อนุสรณ์   โท้ทอง</v>
          </cell>
          <cell r="D199" t="str">
            <v>QA/QC</v>
          </cell>
          <cell r="E199" t="str">
            <v>รายวัน</v>
          </cell>
          <cell r="F199" t="str">
            <v>Trainees</v>
          </cell>
          <cell r="G199" t="str">
            <v>นักศึกษาฝึกงาน</v>
          </cell>
        </row>
        <row r="200">
          <cell r="B200" t="str">
            <v>6311018S</v>
          </cell>
          <cell r="C200" t="str">
            <v>นาย  วีรพันธ์   ฝักฝ่าย</v>
          </cell>
          <cell r="D200" t="str">
            <v>QA/QC</v>
          </cell>
          <cell r="E200" t="str">
            <v>รายวัน</v>
          </cell>
          <cell r="F200" t="str">
            <v>Trainees</v>
          </cell>
          <cell r="G200" t="str">
            <v>นักศึกษาฝึกงาน</v>
          </cell>
        </row>
        <row r="201">
          <cell r="B201" t="str">
            <v>6311019S</v>
          </cell>
          <cell r="C201" t="str">
            <v>นาย  ปิยะวัฒน์   กบคำ</v>
          </cell>
          <cell r="D201" t="str">
            <v>CUT</v>
          </cell>
          <cell r="E201" t="str">
            <v>รายวัน</v>
          </cell>
          <cell r="F201" t="str">
            <v>Trainees</v>
          </cell>
          <cell r="G201" t="str">
            <v>นักศึกษาฝึกงาน</v>
          </cell>
        </row>
        <row r="202">
          <cell r="B202" t="str">
            <v>6311020S</v>
          </cell>
          <cell r="C202" t="str">
            <v>นาย  กิตติศักดิ์   สมศรี</v>
          </cell>
          <cell r="D202" t="str">
            <v>EN</v>
          </cell>
          <cell r="E202" t="str">
            <v>รายวัน</v>
          </cell>
          <cell r="F202" t="str">
            <v>Trainees</v>
          </cell>
          <cell r="G202" t="str">
            <v>นักศึกษาฝึกงาน</v>
          </cell>
        </row>
        <row r="203">
          <cell r="B203" t="str">
            <v>6311021S</v>
          </cell>
          <cell r="C203" t="str">
            <v>นาย  กิตติทัต   เทพจันทร์</v>
          </cell>
          <cell r="D203" t="str">
            <v>FMG-B</v>
          </cell>
          <cell r="E203" t="str">
            <v>รายวัน</v>
          </cell>
          <cell r="F203" t="str">
            <v>Trainees</v>
          </cell>
          <cell r="G203" t="str">
            <v>นักศึกษาฝึกงาน</v>
          </cell>
        </row>
        <row r="204">
          <cell r="B204" t="str">
            <v>6311022S</v>
          </cell>
          <cell r="C204" t="str">
            <v>นาย  วิรัตน์   ดอกผึ้ง</v>
          </cell>
          <cell r="D204" t="str">
            <v>FMG-B</v>
          </cell>
          <cell r="E204" t="str">
            <v>รายวัน</v>
          </cell>
          <cell r="F204" t="str">
            <v>Trainees</v>
          </cell>
          <cell r="G204" t="str">
            <v>นักศึกษาฝึกงาน</v>
          </cell>
        </row>
        <row r="205">
          <cell r="B205" t="str">
            <v>6311025S</v>
          </cell>
          <cell r="C205" t="str">
            <v>นาย  บุญฤทธิ์   วงศ์สกุล</v>
          </cell>
          <cell r="D205" t="str">
            <v>FMG-B</v>
          </cell>
          <cell r="E205" t="str">
            <v>รายวัน</v>
          </cell>
          <cell r="F205" t="str">
            <v>Trainees</v>
          </cell>
          <cell r="G205" t="str">
            <v>นักศึกษาฝึกงาน</v>
          </cell>
        </row>
        <row r="206">
          <cell r="B206" t="str">
            <v>6311026</v>
          </cell>
          <cell r="C206" t="str">
            <v>นางสาว  วราพร   เรืองสันติกรกุล</v>
          </cell>
          <cell r="D206" t="str">
            <v>MT</v>
          </cell>
          <cell r="E206" t="str">
            <v>รายเดือน</v>
          </cell>
          <cell r="F206" t="str">
            <v>CAR</v>
          </cell>
          <cell r="G206" t="str">
            <v>พนักงานธุรการ</v>
          </cell>
        </row>
        <row r="207">
          <cell r="B207" t="str">
            <v>6311028</v>
          </cell>
          <cell r="C207" t="str">
            <v>นางสาว  ชุติมา   ปัตติทานัง</v>
          </cell>
          <cell r="D207" t="str">
            <v>QA/QC</v>
          </cell>
          <cell r="E207" t="str">
            <v>รายเดือน</v>
          </cell>
          <cell r="F207" t="str">
            <v>CAR</v>
          </cell>
          <cell r="G207" t="str">
            <v>ผู้ช่วยหัวหน้าหน่วย</v>
          </cell>
        </row>
        <row r="208">
          <cell r="B208">
            <v>6312004</v>
          </cell>
          <cell r="C208" t="str">
            <v>นาย  สุริโย   ภิรมย์ชม</v>
          </cell>
          <cell r="D208" t="str">
            <v>FMG-A</v>
          </cell>
          <cell r="E208" t="str">
            <v>รายวัน</v>
          </cell>
          <cell r="F208" t="str">
            <v>CAR</v>
          </cell>
          <cell r="G208" t="str">
            <v>พนักงานทั่วไป</v>
          </cell>
        </row>
        <row r="209">
          <cell r="B209" t="str">
            <v>6312005</v>
          </cell>
          <cell r="C209" t="str">
            <v>นาย  สุรกิจ   คำพา</v>
          </cell>
          <cell r="D209" t="str">
            <v>QA/QC</v>
          </cell>
          <cell r="E209" t="str">
            <v>รายเดือน</v>
          </cell>
          <cell r="F209" t="str">
            <v>CAR</v>
          </cell>
          <cell r="G209" t="str">
            <v>เจ้าหน้าที่</v>
          </cell>
        </row>
        <row r="210">
          <cell r="B210" t="str">
            <v>6312006</v>
          </cell>
          <cell r="C210" t="str">
            <v>นางสาว  พชิรา   อุษาวรรณโชติ</v>
          </cell>
          <cell r="D210" t="str">
            <v>EXT</v>
          </cell>
          <cell r="E210" t="str">
            <v>รายวัน</v>
          </cell>
          <cell r="F210" t="str">
            <v>CAR</v>
          </cell>
          <cell r="G210" t="str">
            <v>พนักงานทั่วไป</v>
          </cell>
        </row>
        <row r="211">
          <cell r="B211" t="str">
            <v>6312009</v>
          </cell>
          <cell r="C211" t="str">
            <v>นางสาว  นิลาวัลย์   ทองมี</v>
          </cell>
          <cell r="D211" t="str">
            <v>FNG-1</v>
          </cell>
          <cell r="E211" t="str">
            <v>รายวัน</v>
          </cell>
          <cell r="F211" t="str">
            <v>CAR</v>
          </cell>
          <cell r="G211" t="str">
            <v>พนักงานทั่วไป</v>
          </cell>
        </row>
        <row r="212">
          <cell r="B212" t="str">
            <v>6312013</v>
          </cell>
          <cell r="C212" t="str">
            <v>นางสาว  เดือนเพ็ญ   ตองติดรัมย์</v>
          </cell>
          <cell r="D212" t="str">
            <v>NT</v>
          </cell>
          <cell r="E212" t="str">
            <v>รายวัน</v>
          </cell>
          <cell r="F212" t="str">
            <v>CAR</v>
          </cell>
          <cell r="G212" t="str">
            <v>พนักงานทั่วไป</v>
          </cell>
        </row>
        <row r="213">
          <cell r="B213" t="str">
            <v>6312014</v>
          </cell>
          <cell r="C213" t="str">
            <v>นางสาว  พิสมัย   ห่วงทอง</v>
          </cell>
          <cell r="D213" t="str">
            <v>FNG-1</v>
          </cell>
          <cell r="E213" t="str">
            <v>รายเดือน</v>
          </cell>
          <cell r="F213" t="str">
            <v>CAR</v>
          </cell>
          <cell r="G213" t="str">
            <v>พนักงานทั่วไป</v>
          </cell>
        </row>
        <row r="214">
          <cell r="B214" t="str">
            <v>6312016</v>
          </cell>
          <cell r="C214" t="str">
            <v>นางสาว  สิริวรรณ   กลมนวน</v>
          </cell>
          <cell r="D214" t="str">
            <v>FNG-1</v>
          </cell>
          <cell r="E214" t="str">
            <v>รายเดือน</v>
          </cell>
          <cell r="F214" t="str">
            <v>CAR</v>
          </cell>
          <cell r="G214" t="str">
            <v>พนักงานทั่วไป</v>
          </cell>
        </row>
        <row r="215">
          <cell r="B215" t="str">
            <v>6312017</v>
          </cell>
          <cell r="C215" t="str">
            <v>นางสาว  พรพรรณ   ภูผันผิน</v>
          </cell>
          <cell r="D215" t="str">
            <v>FNG-1</v>
          </cell>
          <cell r="E215" t="str">
            <v>รายเดือน</v>
          </cell>
          <cell r="F215" t="str">
            <v>CAR</v>
          </cell>
          <cell r="G215" t="str">
            <v>พนักงานทั่วไป</v>
          </cell>
        </row>
        <row r="216">
          <cell r="B216">
            <v>6312019</v>
          </cell>
          <cell r="C216" t="str">
            <v>นางสาว  สุภาพร   ชัยบุดดี</v>
          </cell>
          <cell r="D216" t="str">
            <v>FNG-1</v>
          </cell>
          <cell r="E216" t="str">
            <v>รายวัน</v>
          </cell>
          <cell r="F216" t="str">
            <v>CAR</v>
          </cell>
          <cell r="G216" t="str">
            <v>พนักงานทั่วไป</v>
          </cell>
        </row>
        <row r="217">
          <cell r="B217" t="str">
            <v>6401001</v>
          </cell>
          <cell r="C217" t="str">
            <v>นางสาว  สถิตาภรณ์   บุญผ่อง</v>
          </cell>
          <cell r="D217" t="str">
            <v>HR&amp;GA/ IT</v>
          </cell>
          <cell r="E217" t="str">
            <v>รายเดือน</v>
          </cell>
          <cell r="F217" t="str">
            <v>CAR</v>
          </cell>
          <cell r="G217" t="str">
            <v>เลขานุการ</v>
          </cell>
        </row>
        <row r="218">
          <cell r="B218">
            <v>6401002</v>
          </cell>
          <cell r="C218" t="str">
            <v>นาย  กฤษฏา   ปานอินทร์</v>
          </cell>
          <cell r="D218" t="str">
            <v>FMG-A</v>
          </cell>
          <cell r="E218" t="str">
            <v>รายวัน</v>
          </cell>
          <cell r="F218" t="str">
            <v>CAR</v>
          </cell>
          <cell r="G218" t="str">
            <v>พนักงานทั่วไป</v>
          </cell>
        </row>
        <row r="219">
          <cell r="B219">
            <v>6401004</v>
          </cell>
          <cell r="C219" t="str">
            <v>นาย  สุคนธ์   แม่นยำ</v>
          </cell>
          <cell r="D219" t="str">
            <v>EXT</v>
          </cell>
          <cell r="E219" t="str">
            <v>รายวัน</v>
          </cell>
          <cell r="F219" t="str">
            <v>CAR</v>
          </cell>
          <cell r="G219" t="str">
            <v>พนักงานทั่วไป</v>
          </cell>
        </row>
        <row r="220">
          <cell r="B220" t="str">
            <v>6401005</v>
          </cell>
          <cell r="C220" t="str">
            <v>นาย  จักรภพ   ลากุล</v>
          </cell>
          <cell r="D220" t="str">
            <v>MT</v>
          </cell>
          <cell r="E220" t="str">
            <v>รายเดือน</v>
          </cell>
          <cell r="F220" t="str">
            <v>CAR</v>
          </cell>
          <cell r="G220" t="str">
            <v>ช่างซ่อมบำรุง</v>
          </cell>
        </row>
        <row r="221">
          <cell r="B221" t="str">
            <v>6401006</v>
          </cell>
          <cell r="C221" t="str">
            <v>นาย  ธนพร   นาคทอง</v>
          </cell>
          <cell r="D221" t="str">
            <v>MIX</v>
          </cell>
          <cell r="E221" t="str">
            <v>รายวัน</v>
          </cell>
          <cell r="F221" t="str">
            <v>CAR</v>
          </cell>
          <cell r="G221" t="str">
            <v>พนักงานทั่วไป</v>
          </cell>
        </row>
        <row r="222">
          <cell r="B222" t="str">
            <v>6401008</v>
          </cell>
          <cell r="C222" t="str">
            <v>นาย  อรรคเดช   ชะผุย</v>
          </cell>
          <cell r="D222" t="str">
            <v>FMG-A</v>
          </cell>
          <cell r="E222" t="str">
            <v>รายวัน</v>
          </cell>
          <cell r="F222" t="str">
            <v>CAR</v>
          </cell>
          <cell r="G222" t="str">
            <v>พนักงานทั่วไป</v>
          </cell>
        </row>
        <row r="223">
          <cell r="B223" t="str">
            <v>6401011</v>
          </cell>
          <cell r="C223" t="str">
            <v>นาย  สมพาน   พรมเริง</v>
          </cell>
          <cell r="D223" t="str">
            <v>MIX</v>
          </cell>
          <cell r="E223" t="str">
            <v>รายวัน</v>
          </cell>
          <cell r="F223" t="str">
            <v>CAR</v>
          </cell>
          <cell r="G223" t="str">
            <v>พนักงานทั่วไป</v>
          </cell>
        </row>
        <row r="224">
          <cell r="B224" t="str">
            <v>6401012</v>
          </cell>
          <cell r="C224" t="str">
            <v>นาย  สุรเดช   ซึ่งจะโปะ</v>
          </cell>
          <cell r="D224" t="str">
            <v>FMG-A</v>
          </cell>
          <cell r="E224" t="str">
            <v>รายวัน</v>
          </cell>
          <cell r="F224" t="str">
            <v>CAR</v>
          </cell>
          <cell r="G224" t="str">
            <v>พนักงานทั่วไป</v>
          </cell>
        </row>
        <row r="225">
          <cell r="B225" t="str">
            <v>6401014</v>
          </cell>
          <cell r="C225" t="str">
            <v>นาย  อภิเชษฐ์   บุญเที่ยง</v>
          </cell>
          <cell r="D225" t="str">
            <v>FMG-A</v>
          </cell>
          <cell r="E225" t="str">
            <v>รายวัน</v>
          </cell>
          <cell r="F225" t="str">
            <v>CAR</v>
          </cell>
          <cell r="G225" t="str">
            <v>พนักงานทั่วไป</v>
          </cell>
        </row>
        <row r="226">
          <cell r="B226" t="str">
            <v>6401016</v>
          </cell>
          <cell r="C226" t="str">
            <v>นางสาว  นิตยา   เหลาชัย</v>
          </cell>
          <cell r="D226" t="str">
            <v>QA/QC</v>
          </cell>
          <cell r="E226" t="str">
            <v>รายเดือน</v>
          </cell>
          <cell r="F226" t="str">
            <v>CAR</v>
          </cell>
          <cell r="G226" t="str">
            <v>QC Line</v>
          </cell>
        </row>
        <row r="227">
          <cell r="B227" t="str">
            <v>6401017</v>
          </cell>
          <cell r="C227" t="str">
            <v>นาย  นพดล   หิงคำ</v>
          </cell>
          <cell r="D227" t="str">
            <v>QA/QC</v>
          </cell>
          <cell r="E227" t="str">
            <v>รายเดือน</v>
          </cell>
          <cell r="F227" t="str">
            <v>CAR</v>
          </cell>
          <cell r="G227" t="str">
            <v>พนักงานทั่วไป</v>
          </cell>
        </row>
        <row r="228">
          <cell r="B228" t="str">
            <v>6401018</v>
          </cell>
          <cell r="C228" t="str">
            <v>นาย  บรรพต   ถนอมทรัพย์</v>
          </cell>
          <cell r="D228" t="str">
            <v>FMG-B</v>
          </cell>
          <cell r="E228" t="str">
            <v>รายวัน</v>
          </cell>
          <cell r="F228" t="str">
            <v>CAR</v>
          </cell>
          <cell r="G228" t="str">
            <v>พนักงานทั่วไป</v>
          </cell>
        </row>
        <row r="229">
          <cell r="B229" t="str">
            <v>6401020</v>
          </cell>
          <cell r="C229" t="str">
            <v>นายวุฒิไกร   สีแย้ม</v>
          </cell>
          <cell r="D229" t="str">
            <v>FMG-A</v>
          </cell>
          <cell r="E229" t="str">
            <v>รายเดือน</v>
          </cell>
          <cell r="F229" t="str">
            <v>CAR</v>
          </cell>
          <cell r="G229" t="str">
            <v>พนักงานทั่วไป</v>
          </cell>
        </row>
        <row r="230">
          <cell r="B230">
            <v>6401021</v>
          </cell>
          <cell r="C230" t="str">
            <v>นางสาว  น้ำฝน   วงคง</v>
          </cell>
          <cell r="D230" t="str">
            <v>STO</v>
          </cell>
          <cell r="E230" t="str">
            <v>รายวัน</v>
          </cell>
          <cell r="F230" t="str">
            <v>CAR</v>
          </cell>
          <cell r="G230" t="str">
            <v>พนักงานทั่วไป</v>
          </cell>
        </row>
        <row r="231">
          <cell r="B231" t="str">
            <v>6401022</v>
          </cell>
          <cell r="C231" t="str">
            <v>นางสาว  อุไรพร   โลกานินทร์</v>
          </cell>
          <cell r="D231" t="str">
            <v>PD</v>
          </cell>
          <cell r="E231" t="str">
            <v>รายเดือน</v>
          </cell>
          <cell r="F231" t="str">
            <v>CAR</v>
          </cell>
          <cell r="G231" t="str">
            <v>พนักงานธุรการ</v>
          </cell>
        </row>
        <row r="232">
          <cell r="B232" t="str">
            <v>6401023</v>
          </cell>
          <cell r="C232" t="str">
            <v>นาย  กิตติกร   วรพันธ์</v>
          </cell>
          <cell r="D232" t="str">
            <v>FMG-B</v>
          </cell>
          <cell r="E232" t="str">
            <v>รายเดือน</v>
          </cell>
          <cell r="F232" t="str">
            <v>CAR</v>
          </cell>
          <cell r="G232" t="str">
            <v>พนักงานทั่วไป</v>
          </cell>
        </row>
        <row r="233">
          <cell r="B233" t="str">
            <v>6401025</v>
          </cell>
          <cell r="C233" t="str">
            <v>นางสาว  สุดารัตน์   ภาสุดา</v>
          </cell>
          <cell r="D233" t="str">
            <v>STO</v>
          </cell>
          <cell r="E233" t="str">
            <v>รายวัน</v>
          </cell>
          <cell r="F233" t="str">
            <v>CAR</v>
          </cell>
          <cell r="G233" t="str">
            <v>พนักงานทั่วไป</v>
          </cell>
        </row>
        <row r="234">
          <cell r="B234" t="str">
            <v>6401026</v>
          </cell>
          <cell r="C234" t="str">
            <v>นางสาว  ภาวิดา   ฆ้องสะเทือน</v>
          </cell>
          <cell r="D234" t="str">
            <v>QA/QC</v>
          </cell>
          <cell r="E234" t="str">
            <v>รายเดือน</v>
          </cell>
          <cell r="F234" t="str">
            <v>CAR</v>
          </cell>
          <cell r="G234" t="str">
            <v>พนักงานทั่วไป</v>
          </cell>
        </row>
        <row r="235">
          <cell r="B235" t="str">
            <v>6402001</v>
          </cell>
          <cell r="C235" t="str">
            <v>นาย  อนิรุต   เหล็กนวล</v>
          </cell>
          <cell r="D235" t="str">
            <v>FMG-B</v>
          </cell>
          <cell r="E235" t="str">
            <v>รายวัน</v>
          </cell>
          <cell r="F235" t="str">
            <v>CAR</v>
          </cell>
          <cell r="G235" t="str">
            <v>พนักงานทั่วไป</v>
          </cell>
        </row>
        <row r="236">
          <cell r="B236" t="str">
            <v>6402003</v>
          </cell>
          <cell r="C236" t="str">
            <v>นาย  ซาฟาอี   ซีเดะ</v>
          </cell>
          <cell r="D236" t="str">
            <v>PD</v>
          </cell>
          <cell r="E236" t="str">
            <v>รายเดือน</v>
          </cell>
          <cell r="F236" t="str">
            <v>CAR</v>
          </cell>
          <cell r="G236" t="str">
            <v>หัวหน้าแผนก</v>
          </cell>
        </row>
        <row r="237">
          <cell r="B237" t="str">
            <v>6402004</v>
          </cell>
          <cell r="C237" t="str">
            <v>นางสาว  ศิริพร   ช่างสุวรรณ</v>
          </cell>
          <cell r="D237" t="str">
            <v>PD</v>
          </cell>
          <cell r="E237" t="str">
            <v>รายเดือน</v>
          </cell>
          <cell r="F237" t="str">
            <v>CAR</v>
          </cell>
          <cell r="G237" t="str">
            <v>พนักงานธุรการ</v>
          </cell>
        </row>
        <row r="238">
          <cell r="B238" t="str">
            <v>6402005</v>
          </cell>
          <cell r="C238" t="str">
            <v>นางสาว  จริยา   สีหาชารี</v>
          </cell>
          <cell r="D238" t="str">
            <v>QA/QC</v>
          </cell>
          <cell r="E238" t="str">
            <v>รายเดือน</v>
          </cell>
          <cell r="F238" t="str">
            <v>CAR</v>
          </cell>
          <cell r="G238" t="str">
            <v>QC Inspector</v>
          </cell>
        </row>
        <row r="239">
          <cell r="B239" t="str">
            <v>6402007</v>
          </cell>
          <cell r="C239" t="str">
            <v>นางสาว  มะลิ   สอนเนตร</v>
          </cell>
          <cell r="D239" t="str">
            <v>FNG-3</v>
          </cell>
          <cell r="E239" t="str">
            <v>รายวัน</v>
          </cell>
          <cell r="F239" t="str">
            <v>CAR</v>
          </cell>
          <cell r="G239" t="str">
            <v>พนักงานทั่วไป</v>
          </cell>
        </row>
        <row r="240">
          <cell r="B240">
            <v>6402008</v>
          </cell>
          <cell r="C240" t="str">
            <v>นาย  รัชชานนท์   วังคีรี</v>
          </cell>
          <cell r="D240" t="str">
            <v>FMG-B</v>
          </cell>
          <cell r="E240" t="str">
            <v>รายวัน</v>
          </cell>
          <cell r="F240" t="str">
            <v>CAR</v>
          </cell>
          <cell r="G240" t="str">
            <v>พนักงานทั่วไป</v>
          </cell>
        </row>
        <row r="241">
          <cell r="B241">
            <v>6402010</v>
          </cell>
          <cell r="C241" t="str">
            <v>นาย  กิตติศักดิ์   ฝั้นมงคล</v>
          </cell>
          <cell r="D241" t="str">
            <v>FMG-B</v>
          </cell>
          <cell r="E241" t="str">
            <v>รายวัน</v>
          </cell>
          <cell r="F241" t="str">
            <v>CAR</v>
          </cell>
          <cell r="G241" t="str">
            <v>พนักงานทั่วไป</v>
          </cell>
        </row>
        <row r="242">
          <cell r="B242" t="str">
            <v>6402011</v>
          </cell>
          <cell r="C242" t="str">
            <v>นาย  จิรายุ   วงค์เมืองแก่น</v>
          </cell>
          <cell r="D242" t="str">
            <v>FMG-A</v>
          </cell>
          <cell r="E242" t="str">
            <v>รายวัน</v>
          </cell>
          <cell r="F242" t="str">
            <v>CAR</v>
          </cell>
          <cell r="G242" t="str">
            <v>พนักงานทั่วไป</v>
          </cell>
        </row>
        <row r="243">
          <cell r="B243" t="str">
            <v>6402012</v>
          </cell>
          <cell r="C243" t="str">
            <v>นาย  วัชรพล   สมวงษ์</v>
          </cell>
          <cell r="D243" t="str">
            <v>CUT</v>
          </cell>
          <cell r="E243" t="str">
            <v>รายวัน</v>
          </cell>
          <cell r="F243" t="str">
            <v>CAR</v>
          </cell>
          <cell r="G243" t="str">
            <v>พนักงานทั่วไป</v>
          </cell>
        </row>
        <row r="244">
          <cell r="B244" t="str">
            <v>6402013</v>
          </cell>
          <cell r="C244" t="str">
            <v>นางสาว  สมฤดี   วิชาเงิน</v>
          </cell>
          <cell r="D244" t="str">
            <v>EXT</v>
          </cell>
          <cell r="E244" t="str">
            <v>รายวัน</v>
          </cell>
          <cell r="F244" t="str">
            <v>CAR</v>
          </cell>
          <cell r="G244" t="str">
            <v>พนักงานทั่วไป</v>
          </cell>
        </row>
        <row r="245">
          <cell r="B245" t="str">
            <v>6402014</v>
          </cell>
          <cell r="C245" t="str">
            <v>นางสาว  ชนิดาภา   ผาทอง</v>
          </cell>
          <cell r="D245" t="str">
            <v>FNG-3</v>
          </cell>
          <cell r="E245" t="str">
            <v>รายวัน</v>
          </cell>
          <cell r="F245" t="str">
            <v>CAR</v>
          </cell>
          <cell r="G245" t="str">
            <v>พนักงานทั่วไป</v>
          </cell>
        </row>
        <row r="246">
          <cell r="B246" t="str">
            <v>6402015</v>
          </cell>
          <cell r="C246" t="str">
            <v>นางสาว  น้ำฝน   น้อยมาตร</v>
          </cell>
          <cell r="D246" t="str">
            <v>FNG-6</v>
          </cell>
          <cell r="E246" t="str">
            <v>รายวัน</v>
          </cell>
          <cell r="F246" t="str">
            <v>CAR</v>
          </cell>
          <cell r="G246" t="str">
            <v>พนักงานทั่วไป</v>
          </cell>
        </row>
        <row r="247">
          <cell r="B247" t="str">
            <v>6402016</v>
          </cell>
          <cell r="C247" t="str">
            <v>นาย  ศราวุฒิ   สมพร้อม</v>
          </cell>
          <cell r="D247" t="str">
            <v>EXT</v>
          </cell>
          <cell r="E247" t="str">
            <v>รายวัน</v>
          </cell>
          <cell r="F247" t="str">
            <v>CAR</v>
          </cell>
          <cell r="G247" t="str">
            <v>พนักงานทั่วไป</v>
          </cell>
        </row>
        <row r="248">
          <cell r="B248" t="str">
            <v>6402017</v>
          </cell>
          <cell r="C248" t="str">
            <v>นาย  วัชระ   ไชยสวัสดิ์</v>
          </cell>
          <cell r="D248" t="str">
            <v>EXT</v>
          </cell>
          <cell r="E248" t="str">
            <v>รายเดือน</v>
          </cell>
          <cell r="F248" t="str">
            <v>CAR</v>
          </cell>
          <cell r="G248" t="str">
            <v>พนักงานทั่วไป</v>
          </cell>
        </row>
        <row r="249">
          <cell r="B249" t="str">
            <v>6402018</v>
          </cell>
          <cell r="C249" t="str">
            <v>นาย  สรรพสิทธิ์   ชูหนู</v>
          </cell>
          <cell r="D249" t="str">
            <v>EN</v>
          </cell>
          <cell r="E249" t="str">
            <v>รายเดือน</v>
          </cell>
          <cell r="F249" t="str">
            <v>CAR</v>
          </cell>
          <cell r="G249" t="str">
            <v>หัวหน้าแผนก</v>
          </cell>
        </row>
        <row r="250">
          <cell r="B250">
            <v>6402019</v>
          </cell>
          <cell r="C250" t="str">
            <v>นาย  ชาญวิทย์   แก้วกำพล</v>
          </cell>
          <cell r="D250" t="str">
            <v>QA/QC</v>
          </cell>
          <cell r="E250" t="str">
            <v>รายเดือน</v>
          </cell>
          <cell r="F250" t="str">
            <v>CAR</v>
          </cell>
          <cell r="G250" t="str">
            <v>QA Inspector</v>
          </cell>
        </row>
        <row r="251">
          <cell r="B251" t="str">
            <v>6402021</v>
          </cell>
          <cell r="C251" t="str">
            <v>นายพงพัน   คูณสว่าง</v>
          </cell>
          <cell r="D251" t="str">
            <v>MIX</v>
          </cell>
          <cell r="E251" t="str">
            <v>รายเดือน</v>
          </cell>
          <cell r="F251" t="str">
            <v>CAR</v>
          </cell>
          <cell r="G251" t="str">
            <v>พนักงานทั่วไป</v>
          </cell>
        </row>
        <row r="252">
          <cell r="B252" t="str">
            <v>6402022</v>
          </cell>
          <cell r="C252" t="str">
            <v>นาย  อุดม   สีโนนทอง</v>
          </cell>
          <cell r="D252" t="str">
            <v>NT</v>
          </cell>
          <cell r="E252" t="str">
            <v>รายเดือน</v>
          </cell>
          <cell r="F252" t="str">
            <v>CAR</v>
          </cell>
          <cell r="G252" t="str">
            <v>พนักงานทั่วไป</v>
          </cell>
        </row>
        <row r="253">
          <cell r="B253" t="str">
            <v>6403001</v>
          </cell>
          <cell r="C253" t="str">
            <v>นาย  ณอดุลย์   พูลเพิ่ม</v>
          </cell>
          <cell r="D253" t="str">
            <v>QA/QC</v>
          </cell>
          <cell r="E253" t="str">
            <v>รายเดือน</v>
          </cell>
          <cell r="F253" t="str">
            <v>CAR</v>
          </cell>
          <cell r="G253" t="str">
            <v>ผู้จัดการแผนก</v>
          </cell>
        </row>
        <row r="254">
          <cell r="B254">
            <v>6403002</v>
          </cell>
          <cell r="C254" t="str">
            <v>นางสาว  กรกนก   เกตุแก้ว</v>
          </cell>
          <cell r="D254" t="str">
            <v>FNG-5</v>
          </cell>
          <cell r="E254" t="str">
            <v>รายวัน</v>
          </cell>
          <cell r="F254" t="str">
            <v>CAR</v>
          </cell>
          <cell r="G254" t="str">
            <v>พนักงานทั่วไป</v>
          </cell>
        </row>
        <row r="255">
          <cell r="B255">
            <v>6403003</v>
          </cell>
          <cell r="C255" t="str">
            <v>นางสาว  ปนัดดา   ผันสำโรง</v>
          </cell>
          <cell r="D255" t="str">
            <v>FNG-3</v>
          </cell>
          <cell r="E255" t="str">
            <v>รายวัน</v>
          </cell>
          <cell r="F255" t="str">
            <v>CAR</v>
          </cell>
          <cell r="G255" t="str">
            <v>พนักงานทั่วไป</v>
          </cell>
        </row>
        <row r="256">
          <cell r="B256" t="str">
            <v>6403004</v>
          </cell>
          <cell r="C256" t="str">
            <v>นาย  จารุกิตต์   ครากพิมาย</v>
          </cell>
          <cell r="D256" t="str">
            <v>MIX</v>
          </cell>
          <cell r="E256" t="str">
            <v>รายวัน</v>
          </cell>
          <cell r="F256" t="str">
            <v>CAR</v>
          </cell>
          <cell r="G256" t="str">
            <v>พนักงานทั่วไป</v>
          </cell>
        </row>
        <row r="257">
          <cell r="B257">
            <v>6403005</v>
          </cell>
          <cell r="C257" t="str">
            <v>นาย  พงษ์ศักดิ์   หวดไธสง</v>
          </cell>
          <cell r="D257" t="str">
            <v>FMG-B</v>
          </cell>
          <cell r="E257" t="str">
            <v>รายวัน</v>
          </cell>
          <cell r="F257" t="str">
            <v>CAR</v>
          </cell>
          <cell r="G257" t="str">
            <v>พนักงานทั่วไป</v>
          </cell>
        </row>
        <row r="258">
          <cell r="B258">
            <v>6403006</v>
          </cell>
          <cell r="C258" t="str">
            <v>นาย  ศรชัย   ราชสีห์</v>
          </cell>
          <cell r="D258" t="str">
            <v>FMG-B</v>
          </cell>
          <cell r="E258" t="str">
            <v>รายวัน</v>
          </cell>
          <cell r="F258" t="str">
            <v>CAR</v>
          </cell>
          <cell r="G258" t="str">
            <v>พนักงานทั่วไป</v>
          </cell>
        </row>
        <row r="259">
          <cell r="B259" t="str">
            <v>6403007</v>
          </cell>
          <cell r="C259" t="str">
            <v>นาย  โยธิน   ม่อยจังหาร</v>
          </cell>
          <cell r="D259" t="str">
            <v>FMG-B</v>
          </cell>
          <cell r="E259" t="str">
            <v>รายวัน</v>
          </cell>
          <cell r="F259" t="str">
            <v>CAR</v>
          </cell>
          <cell r="G259" t="str">
            <v>พนักงานทั่วไป</v>
          </cell>
        </row>
        <row r="260">
          <cell r="B260" t="str">
            <v>6403008</v>
          </cell>
          <cell r="C260" t="str">
            <v>นางสาว  วนิดา   เวทวงค์</v>
          </cell>
          <cell r="D260" t="str">
            <v>EXT</v>
          </cell>
          <cell r="E260" t="str">
            <v>รายวัน</v>
          </cell>
          <cell r="F260" t="str">
            <v>CAR</v>
          </cell>
          <cell r="G260" t="str">
            <v>พนักงานทั่วไป</v>
          </cell>
        </row>
        <row r="261">
          <cell r="B261" t="str">
            <v>6403009</v>
          </cell>
          <cell r="C261" t="str">
            <v>นางสาว  โชติกา   แสนทวีสุข</v>
          </cell>
          <cell r="D261" t="str">
            <v>EXT</v>
          </cell>
          <cell r="E261" t="str">
            <v>รายวัน</v>
          </cell>
          <cell r="F261" t="str">
            <v>CAR</v>
          </cell>
          <cell r="G261" t="str">
            <v>พนักงานทั่วไป</v>
          </cell>
        </row>
        <row r="262">
          <cell r="B262" t="str">
            <v>6403010</v>
          </cell>
          <cell r="C262" t="str">
            <v>นางสาว  จิรัชญานันท์   เรืองศิลป์</v>
          </cell>
          <cell r="D262" t="str">
            <v>STO</v>
          </cell>
          <cell r="E262" t="str">
            <v>รายวัน</v>
          </cell>
          <cell r="F262" t="str">
            <v>CAR</v>
          </cell>
          <cell r="G262" t="str">
            <v>พนักงานทั่วไป</v>
          </cell>
        </row>
        <row r="263">
          <cell r="B263">
            <v>6403011</v>
          </cell>
          <cell r="C263" t="str">
            <v>นาย ธวัชชัย  ดุกล้า</v>
          </cell>
          <cell r="D263" t="str">
            <v>FMG-B</v>
          </cell>
          <cell r="E263" t="str">
            <v>รายวัน</v>
          </cell>
          <cell r="F263" t="str">
            <v>CAR</v>
          </cell>
          <cell r="G263" t="str">
            <v>พนักงานทั่วไป</v>
          </cell>
        </row>
        <row r="264">
          <cell r="B264">
            <v>6403012</v>
          </cell>
          <cell r="C264" t="str">
            <v>นาย ตะวัน  ชำนิหอม</v>
          </cell>
          <cell r="D264" t="str">
            <v>PD</v>
          </cell>
          <cell r="E264" t="str">
            <v>รายเดือน</v>
          </cell>
          <cell r="F264" t="str">
            <v>CAR</v>
          </cell>
          <cell r="G264" t="str">
            <v>ผู้จัดการแผนก</v>
          </cell>
        </row>
        <row r="265">
          <cell r="B265" t="str">
            <v>6403013S</v>
          </cell>
          <cell r="C265" t="str">
            <v>นาย ภานุวัฒน์  กานัน</v>
          </cell>
          <cell r="D265" t="str">
            <v>EXT</v>
          </cell>
          <cell r="E265" t="str">
            <v>รายวัน</v>
          </cell>
          <cell r="F265" t="str">
            <v>Trainees</v>
          </cell>
          <cell r="G265" t="str">
            <v>นักศึกษาฝึกงาน</v>
          </cell>
        </row>
        <row r="266">
          <cell r="B266" t="str">
            <v>6403014S</v>
          </cell>
          <cell r="C266" t="str">
            <v>นาย กิตติศักดิ์  สายยศ</v>
          </cell>
          <cell r="D266" t="str">
            <v>EXT</v>
          </cell>
          <cell r="E266" t="str">
            <v>รายวัน</v>
          </cell>
          <cell r="F266" t="str">
            <v>Trainees</v>
          </cell>
          <cell r="G266" t="str">
            <v>นักศึกษาฝึกงาน</v>
          </cell>
        </row>
        <row r="267">
          <cell r="B267" t="str">
            <v>6403015S</v>
          </cell>
          <cell r="C267" t="str">
            <v>นาย พิชญุตม์  อุทาหรณ์</v>
          </cell>
          <cell r="D267" t="str">
            <v>FMG-B</v>
          </cell>
          <cell r="E267" t="str">
            <v>รายวัน</v>
          </cell>
          <cell r="F267" t="str">
            <v>Trainees</v>
          </cell>
          <cell r="G267" t="str">
            <v>นักศึกษาฝึกงาน</v>
          </cell>
        </row>
        <row r="268">
          <cell r="B268" t="str">
            <v>6403016S</v>
          </cell>
          <cell r="C268" t="str">
            <v>นาย กฤษฎา  ปิงยศ</v>
          </cell>
          <cell r="D268" t="str">
            <v>FMG-B</v>
          </cell>
          <cell r="E268" t="str">
            <v>รายวัน</v>
          </cell>
          <cell r="F268" t="str">
            <v>Trainees</v>
          </cell>
          <cell r="G268" t="str">
            <v>นักศึกษาฝึกงาน</v>
          </cell>
        </row>
        <row r="269">
          <cell r="B269" t="str">
            <v>6403017S</v>
          </cell>
          <cell r="C269" t="str">
            <v>นาย มานะศักดิ์  ชัยวงศ์</v>
          </cell>
          <cell r="D269" t="str">
            <v>FMG-B</v>
          </cell>
          <cell r="E269" t="str">
            <v>รายวัน</v>
          </cell>
          <cell r="F269" t="str">
            <v>Trainees</v>
          </cell>
          <cell r="G269" t="str">
            <v>นักศึกษาฝึกงาน</v>
          </cell>
        </row>
        <row r="270">
          <cell r="B270" t="str">
            <v>6403018</v>
          </cell>
          <cell r="C270" t="str">
            <v>นางสาว ศุภนีย์  สุตาต๊ะ</v>
          </cell>
          <cell r="D270" t="str">
            <v>TFC</v>
          </cell>
          <cell r="E270" t="str">
            <v>รายเดือน</v>
          </cell>
          <cell r="F270" t="str">
            <v>CAR</v>
          </cell>
          <cell r="G270" t="str">
            <v>พนักงานทั่วไป</v>
          </cell>
        </row>
        <row r="271">
          <cell r="B271">
            <v>6404001</v>
          </cell>
          <cell r="C271" t="str">
            <v>นางสาว  ภรณ์ทิพย์   ลาภใหญ่</v>
          </cell>
          <cell r="D271" t="str">
            <v>MT</v>
          </cell>
          <cell r="E271" t="str">
            <v>รายเดือน</v>
          </cell>
          <cell r="F271" t="str">
            <v>CAR</v>
          </cell>
          <cell r="G271" t="str">
            <v>พนักงานธุรการ</v>
          </cell>
        </row>
        <row r="272">
          <cell r="B272" t="str">
            <v>6404002</v>
          </cell>
          <cell r="C272" t="str">
            <v>นางสาว  แสงรวี   พิมพ์เหล่าหนาด</v>
          </cell>
          <cell r="D272" t="str">
            <v>NT</v>
          </cell>
          <cell r="E272" t="str">
            <v>รายวัน</v>
          </cell>
          <cell r="F272" t="str">
            <v>CAR</v>
          </cell>
          <cell r="G272" t="str">
            <v>พนักงานทั่วไป</v>
          </cell>
        </row>
        <row r="273">
          <cell r="B273" t="str">
            <v>6404003</v>
          </cell>
          <cell r="C273" t="str">
            <v>นางสาว  อรพิศ   ดีไธสง</v>
          </cell>
          <cell r="D273" t="str">
            <v>FNG-5</v>
          </cell>
          <cell r="E273" t="str">
            <v>รายวัน</v>
          </cell>
          <cell r="F273" t="str">
            <v>CAR</v>
          </cell>
          <cell r="G273" t="str">
            <v>พนักงานทั่วไป</v>
          </cell>
        </row>
        <row r="274">
          <cell r="B274" t="str">
            <v>6404004</v>
          </cell>
          <cell r="C274" t="str">
            <v>นางสาว  สุพัตรา   ทาระเนตร</v>
          </cell>
          <cell r="D274" t="str">
            <v>QA/QC</v>
          </cell>
          <cell r="E274" t="str">
            <v>รายเดือน</v>
          </cell>
          <cell r="F274" t="str">
            <v>CAR</v>
          </cell>
          <cell r="G274" t="str">
            <v>QC Line</v>
          </cell>
        </row>
        <row r="275">
          <cell r="B275" t="str">
            <v>6404005</v>
          </cell>
          <cell r="C275" t="str">
            <v>นางสาว  สิรีธร   ฟักทองอ่อน</v>
          </cell>
          <cell r="D275" t="str">
            <v>CUT</v>
          </cell>
          <cell r="E275" t="str">
            <v>รายวัน</v>
          </cell>
          <cell r="F275" t="str">
            <v>CAR</v>
          </cell>
          <cell r="G275" t="str">
            <v>พนักงานทั่วไป</v>
          </cell>
        </row>
        <row r="276">
          <cell r="B276" t="str">
            <v>6404006S</v>
          </cell>
          <cell r="C276" t="str">
            <v>นางสาว  ลดาวัลย์   บุญแก้ว</v>
          </cell>
          <cell r="D276" t="str">
            <v>PD</v>
          </cell>
          <cell r="E276" t="str">
            <v>รายวัน</v>
          </cell>
          <cell r="F276" t="str">
            <v>Trainees</v>
          </cell>
          <cell r="G276" t="str">
            <v>นักศึกษาฝึกงาน</v>
          </cell>
        </row>
        <row r="277">
          <cell r="B277" t="str">
            <v>6404007</v>
          </cell>
          <cell r="C277" t="str">
            <v>นาย  สุกรี   ไสวดี</v>
          </cell>
          <cell r="D277" t="str">
            <v>CUT</v>
          </cell>
          <cell r="E277" t="str">
            <v>รายเดือน</v>
          </cell>
          <cell r="F277" t="str">
            <v>CAR</v>
          </cell>
          <cell r="G277" t="str">
            <v>พนักงานทั่วไป</v>
          </cell>
        </row>
        <row r="278">
          <cell r="B278" t="str">
            <v>6404008S</v>
          </cell>
          <cell r="C278" t="str">
            <v>นาย  ปวริศ   รักวงศ์บุตร</v>
          </cell>
          <cell r="D278" t="str">
            <v>CUT</v>
          </cell>
          <cell r="E278" t="str">
            <v>รายวัน</v>
          </cell>
          <cell r="F278" t="str">
            <v>Trainees</v>
          </cell>
          <cell r="G278" t="str">
            <v>นักศึกษาฝึกงาน</v>
          </cell>
        </row>
        <row r="279">
          <cell r="B279" t="str">
            <v>6404009S</v>
          </cell>
          <cell r="C279" t="str">
            <v>นาย  บุญต้อย   ต้นน้ำเพชร</v>
          </cell>
          <cell r="D279" t="str">
            <v>EN</v>
          </cell>
          <cell r="E279" t="str">
            <v>รายวัน</v>
          </cell>
          <cell r="F279" t="str">
            <v>Trainees</v>
          </cell>
          <cell r="G279" t="str">
            <v>นักศึกษาฝึกงาน</v>
          </cell>
        </row>
        <row r="280">
          <cell r="B280" t="str">
            <v>6404010S</v>
          </cell>
          <cell r="C280" t="str">
            <v>นาย  เกรียงไกร   ชื่นฤทัย</v>
          </cell>
          <cell r="D280" t="str">
            <v>FMG-B</v>
          </cell>
          <cell r="E280" t="str">
            <v>รายวัน</v>
          </cell>
          <cell r="F280" t="str">
            <v>Trainees</v>
          </cell>
          <cell r="G280" t="str">
            <v>นักศึกษาฝึกงาน</v>
          </cell>
        </row>
        <row r="281">
          <cell r="B281" t="str">
            <v>6404011S</v>
          </cell>
          <cell r="C281" t="str">
            <v>นาย  ชูชีพ   เจริญสุข</v>
          </cell>
          <cell r="D281" t="str">
            <v>FMG-B</v>
          </cell>
          <cell r="E281" t="str">
            <v>รายวัน</v>
          </cell>
          <cell r="F281" t="str">
            <v>Trainees</v>
          </cell>
          <cell r="G281" t="str">
            <v>นักศึกษาฝึกงาน</v>
          </cell>
        </row>
        <row r="282">
          <cell r="B282" t="str">
            <v>6404012S</v>
          </cell>
          <cell r="C282" t="str">
            <v>นาย  สหฤษฎ์   วุฒิเยี่ยม</v>
          </cell>
          <cell r="D282" t="str">
            <v>QA/QC</v>
          </cell>
          <cell r="E282" t="str">
            <v>รายวัน</v>
          </cell>
          <cell r="F282" t="str">
            <v>Trainees</v>
          </cell>
          <cell r="G282" t="str">
            <v>นักศึกษาฝึกงาน</v>
          </cell>
        </row>
        <row r="283">
          <cell r="B283" t="str">
            <v>6405001</v>
          </cell>
          <cell r="C283" t="str">
            <v>นางสาว กัญญา  ทองบัณฑิต</v>
          </cell>
          <cell r="D283" t="str">
            <v>PD</v>
          </cell>
          <cell r="E283" t="str">
            <v>รายเดือน</v>
          </cell>
          <cell r="F283" t="str">
            <v>CAR</v>
          </cell>
          <cell r="G283" t="str">
            <v>พนักงานธุรการ</v>
          </cell>
        </row>
        <row r="284">
          <cell r="B284" t="str">
            <v>6405002</v>
          </cell>
          <cell r="C284" t="str">
            <v>นางสาว ธมลวรรณ  มุงมา</v>
          </cell>
          <cell r="D284" t="str">
            <v>CUT</v>
          </cell>
          <cell r="E284" t="str">
            <v>รายเดือน</v>
          </cell>
          <cell r="F284" t="str">
            <v>CAR</v>
          </cell>
          <cell r="G284" t="str">
            <v>พนักงานธุรการ</v>
          </cell>
        </row>
        <row r="285">
          <cell r="B285" t="str">
            <v>6405003</v>
          </cell>
          <cell r="C285" t="str">
            <v>นางสาว รัชนีกร  มาเพชร</v>
          </cell>
          <cell r="D285" t="str">
            <v>MT</v>
          </cell>
          <cell r="E285" t="str">
            <v>รายเดือน</v>
          </cell>
          <cell r="F285" t="str">
            <v>CAR</v>
          </cell>
          <cell r="G285" t="str">
            <v>พนักงานธุรการ</v>
          </cell>
        </row>
        <row r="286">
          <cell r="B286" t="str">
            <v>6405004</v>
          </cell>
          <cell r="C286" t="str">
            <v>นาย สราวุธ  จันทะวงศ์</v>
          </cell>
          <cell r="D286" t="str">
            <v>FMG-B</v>
          </cell>
          <cell r="E286" t="str">
            <v>รายวัน</v>
          </cell>
          <cell r="F286" t="str">
            <v>CAR</v>
          </cell>
          <cell r="G286" t="str">
            <v>พนักงานทั่วไป</v>
          </cell>
        </row>
        <row r="287">
          <cell r="B287">
            <v>6405005</v>
          </cell>
          <cell r="C287" t="str">
            <v>นาย วัชรพล  ภาเภา</v>
          </cell>
          <cell r="D287" t="str">
            <v>PD</v>
          </cell>
          <cell r="E287" t="str">
            <v>รายเดือน</v>
          </cell>
          <cell r="F287" t="str">
            <v>CAR</v>
          </cell>
          <cell r="G287" t="str">
            <v>หัวหน้าแผนก</v>
          </cell>
        </row>
        <row r="288">
          <cell r="B288">
            <v>6405006</v>
          </cell>
          <cell r="C288" t="str">
            <v>นางสาว เสาวณี  หล้าพิทักชัย</v>
          </cell>
          <cell r="D288" t="str">
            <v>PD</v>
          </cell>
          <cell r="E288" t="str">
            <v>รายเดือน</v>
          </cell>
          <cell r="F288" t="str">
            <v>CAR</v>
          </cell>
          <cell r="G288" t="str">
            <v>พนักงานธุรการ</v>
          </cell>
        </row>
        <row r="289">
          <cell r="B289">
            <v>6405007</v>
          </cell>
          <cell r="C289" t="str">
            <v>นาย ประดิษฐ์  สุขใจ</v>
          </cell>
          <cell r="D289" t="str">
            <v>EXT</v>
          </cell>
          <cell r="E289" t="str">
            <v>รายวัน</v>
          </cell>
          <cell r="F289" t="str">
            <v>CAR</v>
          </cell>
          <cell r="G289" t="str">
            <v>พนักงานทั่วไป</v>
          </cell>
        </row>
        <row r="290">
          <cell r="B290">
            <v>6405008</v>
          </cell>
          <cell r="C290" t="str">
            <v>นาย วีระเทพ  จันทรณฤเบศ</v>
          </cell>
          <cell r="D290" t="str">
            <v>FMG-B</v>
          </cell>
          <cell r="E290" t="str">
            <v>รายวัน</v>
          </cell>
          <cell r="F290" t="str">
            <v>CAR</v>
          </cell>
          <cell r="G290" t="str">
            <v>พนักงานทั่วไป</v>
          </cell>
        </row>
        <row r="291">
          <cell r="B291">
            <v>6405009</v>
          </cell>
          <cell r="C291" t="str">
            <v>นางสาว อุทุมพร  โพธิพันธ์</v>
          </cell>
          <cell r="D291" t="str">
            <v>PD</v>
          </cell>
          <cell r="E291" t="str">
            <v>รายเดือน</v>
          </cell>
          <cell r="F291" t="str">
            <v>CAR</v>
          </cell>
          <cell r="G291" t="str">
            <v>พนักงานธุรการ</v>
          </cell>
        </row>
        <row r="292">
          <cell r="B292">
            <v>6405010</v>
          </cell>
          <cell r="C292" t="str">
            <v>นาย กมล  รักษาพล</v>
          </cell>
          <cell r="D292" t="str">
            <v>FMG-B</v>
          </cell>
          <cell r="E292" t="str">
            <v>รายวัน</v>
          </cell>
          <cell r="F292" t="str">
            <v>CAR</v>
          </cell>
          <cell r="G292" t="str">
            <v>พนักงานทั่วไป</v>
          </cell>
        </row>
        <row r="293">
          <cell r="B293">
            <v>6405011</v>
          </cell>
          <cell r="C293" t="str">
            <v>นาย พิเนตร  อินทร์ตา</v>
          </cell>
          <cell r="D293" t="str">
            <v>FMG-B</v>
          </cell>
          <cell r="E293" t="str">
            <v>รายวัน</v>
          </cell>
          <cell r="F293" t="str">
            <v>CAR</v>
          </cell>
          <cell r="G293" t="str">
            <v>พนักงานทั่วไป</v>
          </cell>
        </row>
        <row r="294">
          <cell r="B294">
            <v>6405012</v>
          </cell>
          <cell r="C294" t="str">
            <v>นาย ศุภวิชญ์  ศิลาหลัก</v>
          </cell>
          <cell r="D294" t="str">
            <v>FMG-B</v>
          </cell>
          <cell r="E294" t="str">
            <v>รายวัน</v>
          </cell>
          <cell r="F294" t="str">
            <v>CAR</v>
          </cell>
          <cell r="G294" t="str">
            <v>พนักงานทั่วไป</v>
          </cell>
        </row>
        <row r="295">
          <cell r="B295">
            <v>6405013</v>
          </cell>
          <cell r="C295" t="str">
            <v>นางสาว ชลลดา  ชมชื่นดี</v>
          </cell>
          <cell r="D295" t="str">
            <v>FNG-3</v>
          </cell>
          <cell r="E295" t="str">
            <v>รายวัน</v>
          </cell>
          <cell r="F295" t="str">
            <v>CAR</v>
          </cell>
          <cell r="G295" t="str">
            <v>พนักงานทั่วไป</v>
          </cell>
        </row>
        <row r="296">
          <cell r="B296">
            <v>6405014</v>
          </cell>
          <cell r="C296" t="str">
            <v>นาย จิรายุทธ์  ศรีสกุลกานต์</v>
          </cell>
          <cell r="D296" t="str">
            <v>QA/QC</v>
          </cell>
          <cell r="E296" t="str">
            <v>รายเดือน</v>
          </cell>
          <cell r="F296" t="str">
            <v>CAR</v>
          </cell>
          <cell r="G296" t="str">
            <v>เจ้าหน้าที่</v>
          </cell>
        </row>
        <row r="297">
          <cell r="B297">
            <v>6405015</v>
          </cell>
          <cell r="C297" t="str">
            <v>นางสาว อริสรา  เกื้อการ</v>
          </cell>
          <cell r="D297" t="str">
            <v>QA/QC</v>
          </cell>
          <cell r="E297" t="str">
            <v>รายเดือน</v>
          </cell>
          <cell r="F297" t="str">
            <v>CAR</v>
          </cell>
          <cell r="G297" t="str">
            <v>QC Line</v>
          </cell>
        </row>
        <row r="298">
          <cell r="B298">
            <v>6405016</v>
          </cell>
          <cell r="C298" t="str">
            <v>นางสาวชัญภัธ  บุญภา</v>
          </cell>
          <cell r="D298" t="str">
            <v>NT</v>
          </cell>
          <cell r="E298" t="str">
            <v>รายวัน</v>
          </cell>
          <cell r="F298" t="str">
            <v>CAR</v>
          </cell>
          <cell r="G298" t="str">
            <v>พนักงานทั่วไป</v>
          </cell>
        </row>
        <row r="299">
          <cell r="B299">
            <v>6405017</v>
          </cell>
          <cell r="C299" t="str">
            <v>นางสาววิภาพร  สีสุวะ</v>
          </cell>
          <cell r="D299" t="str">
            <v>FNG-6</v>
          </cell>
          <cell r="E299" t="str">
            <v>รายวัน</v>
          </cell>
          <cell r="F299" t="str">
            <v>CAR</v>
          </cell>
          <cell r="G299" t="str">
            <v>พนักงานทั่วไป</v>
          </cell>
        </row>
        <row r="300">
          <cell r="B300" t="str">
            <v>6406001</v>
          </cell>
          <cell r="C300" t="str">
            <v>นาย วันชัย  หารโงน</v>
          </cell>
          <cell r="D300" t="str">
            <v>FMG-B</v>
          </cell>
          <cell r="E300" t="str">
            <v>รายวัน</v>
          </cell>
          <cell r="F300" t="str">
            <v>CAR</v>
          </cell>
          <cell r="G300" t="str">
            <v>พนักงานทั่วไป</v>
          </cell>
        </row>
        <row r="301">
          <cell r="B301">
            <v>6406002</v>
          </cell>
          <cell r="C301" t="str">
            <v>นาย ชัชนันท์  เสนสุข</v>
          </cell>
          <cell r="D301" t="str">
            <v>FMG-B</v>
          </cell>
          <cell r="E301" t="str">
            <v>รายวัน</v>
          </cell>
          <cell r="F301" t="str">
            <v>CAR</v>
          </cell>
          <cell r="G301" t="str">
            <v>พนักงานทั่วไป</v>
          </cell>
        </row>
        <row r="302">
          <cell r="B302">
            <v>6406003</v>
          </cell>
          <cell r="C302" t="str">
            <v>นาย ธีระวัฒน์  ลี้พล</v>
          </cell>
          <cell r="D302" t="str">
            <v>FMG-B</v>
          </cell>
          <cell r="E302" t="str">
            <v>รายวัน</v>
          </cell>
          <cell r="F302" t="str">
            <v>CAR</v>
          </cell>
          <cell r="G302" t="str">
            <v>พนักงานทั่วไป</v>
          </cell>
        </row>
        <row r="303">
          <cell r="B303">
            <v>6406004</v>
          </cell>
          <cell r="C303" t="str">
            <v>นางสาวธัญชนก  พุกมงคล</v>
          </cell>
          <cell r="D303" t="str">
            <v>PD</v>
          </cell>
          <cell r="E303" t="str">
            <v>รายเดือน</v>
          </cell>
          <cell r="F303" t="str">
            <v>CAR</v>
          </cell>
          <cell r="G303" t="str">
            <v>พนักงานธุรการ</v>
          </cell>
        </row>
        <row r="304">
          <cell r="B304" t="str">
            <v>6406005</v>
          </cell>
          <cell r="C304" t="str">
            <v>นายกิติศักดิ์  เมฆประดับ</v>
          </cell>
          <cell r="D304" t="str">
            <v>PD</v>
          </cell>
          <cell r="E304" t="str">
            <v>รายเดือน</v>
          </cell>
          <cell r="F304" t="str">
            <v>CAR</v>
          </cell>
          <cell r="G304" t="str">
            <v>ผู้จัดการ</v>
          </cell>
        </row>
        <row r="305">
          <cell r="B305">
            <v>6406006</v>
          </cell>
          <cell r="C305" t="str">
            <v>นายปิยชาติ  มาทุมมี</v>
          </cell>
          <cell r="D305" t="str">
            <v>EXT</v>
          </cell>
          <cell r="E305" t="str">
            <v>รายวัน</v>
          </cell>
          <cell r="F305" t="str">
            <v>CAR</v>
          </cell>
          <cell r="G305" t="str">
            <v>พนักงานทั่วไป</v>
          </cell>
        </row>
        <row r="306">
          <cell r="B306">
            <v>6406007</v>
          </cell>
          <cell r="C306" t="str">
            <v>นางสาวชาริยา  มณีสาย</v>
          </cell>
          <cell r="D306" t="str">
            <v>QA/QC</v>
          </cell>
          <cell r="E306" t="str">
            <v>รายเดือน</v>
          </cell>
          <cell r="F306" t="str">
            <v>CAR</v>
          </cell>
          <cell r="G306" t="str">
            <v>เจ้าหน้าที่</v>
          </cell>
        </row>
        <row r="307">
          <cell r="B307">
            <v>6406008</v>
          </cell>
          <cell r="C307" t="str">
            <v>นายพิชิต  โพธิ์ชัยศรี</v>
          </cell>
          <cell r="D307" t="str">
            <v>PD</v>
          </cell>
          <cell r="E307" t="str">
            <v>รายเดือน</v>
          </cell>
          <cell r="F307" t="str">
            <v>CAR</v>
          </cell>
          <cell r="G307" t="str">
            <v>ผู้ช่วยหัวหน้าหน่วย</v>
          </cell>
        </row>
        <row r="308">
          <cell r="B308" t="str">
            <v>6406009</v>
          </cell>
          <cell r="C308" t="str">
            <v>นางสาวกาญจนา  พงษาวดาน</v>
          </cell>
          <cell r="D308" t="str">
            <v>EXT</v>
          </cell>
          <cell r="E308" t="str">
            <v>รายวัน</v>
          </cell>
          <cell r="F308" t="str">
            <v>CAR</v>
          </cell>
          <cell r="G308" t="str">
            <v>พนักงานทั่วไป</v>
          </cell>
        </row>
        <row r="309">
          <cell r="B309" t="str">
            <v>6406010</v>
          </cell>
          <cell r="C309" t="str">
            <v>นางสาวจินตนา  โลนะสาน</v>
          </cell>
          <cell r="D309" t="str">
            <v>EXT</v>
          </cell>
          <cell r="E309" t="str">
            <v>รายวัน</v>
          </cell>
          <cell r="F309" t="str">
            <v>CAR</v>
          </cell>
          <cell r="G309" t="str">
            <v>พนักงานทั่วไป</v>
          </cell>
        </row>
        <row r="310">
          <cell r="B310" t="str">
            <v>6406011</v>
          </cell>
          <cell r="C310" t="str">
            <v>นายธีรพล  สินธุสะ</v>
          </cell>
          <cell r="D310" t="str">
            <v>PC</v>
          </cell>
          <cell r="E310" t="str">
            <v>รายเดือน</v>
          </cell>
          <cell r="F310" t="str">
            <v>CAR</v>
          </cell>
          <cell r="G310" t="str">
            <v>เจ้าหน้าที่อาวุโส</v>
          </cell>
        </row>
        <row r="311">
          <cell r="B311" t="str">
            <v>6406012</v>
          </cell>
          <cell r="C311" t="str">
            <v>นางสาวพิมพา  ใจดี</v>
          </cell>
          <cell r="D311" t="str">
            <v>FNG-2</v>
          </cell>
          <cell r="E311" t="str">
            <v>รายวัน</v>
          </cell>
          <cell r="F311" t="str">
            <v>CAR</v>
          </cell>
          <cell r="G311" t="str">
            <v>พนักงานทั่วไป</v>
          </cell>
        </row>
        <row r="312">
          <cell r="B312">
            <v>6406013</v>
          </cell>
          <cell r="C312" t="str">
            <v>นางสาวมยุรา  ปลื้มใจ</v>
          </cell>
          <cell r="D312" t="str">
            <v>PD</v>
          </cell>
          <cell r="E312" t="str">
            <v>รายวัน</v>
          </cell>
          <cell r="F312" t="str">
            <v>CAR</v>
          </cell>
          <cell r="G312" t="str">
            <v>พนักงานธุรการ</v>
          </cell>
        </row>
        <row r="313">
          <cell r="B313" t="str">
            <v>6406014</v>
          </cell>
          <cell r="C313" t="str">
            <v>นางสาวศิริลักษณ์  สมเพ็ชร</v>
          </cell>
          <cell r="D313" t="str">
            <v>DELIV</v>
          </cell>
          <cell r="E313" t="str">
            <v>รายเดือน</v>
          </cell>
          <cell r="F313" t="str">
            <v>CAR</v>
          </cell>
          <cell r="G313" t="str">
            <v>เจ้าหน้าที่</v>
          </cell>
        </row>
        <row r="314">
          <cell r="B314" t="str">
            <v>6406015</v>
          </cell>
          <cell r="C314" t="str">
            <v>นางสาวจันทร์นภาพร  โทนะพันธ์</v>
          </cell>
          <cell r="D314" t="str">
            <v>QA/QC</v>
          </cell>
          <cell r="E314" t="str">
            <v>รายเดือน</v>
          </cell>
          <cell r="F314" t="str">
            <v>CAR</v>
          </cell>
          <cell r="G314" t="str">
            <v>QC Line</v>
          </cell>
        </row>
        <row r="315">
          <cell r="B315" t="str">
            <v>6407001</v>
          </cell>
          <cell r="C315" t="str">
            <v>นายชัยวิชิต  สุดเพียง</v>
          </cell>
          <cell r="D315" t="str">
            <v>PD</v>
          </cell>
          <cell r="E315" t="str">
            <v>รายเดือน</v>
          </cell>
          <cell r="F315" t="str">
            <v>CAR</v>
          </cell>
          <cell r="G315" t="str">
            <v>พนักงานธุรการ</v>
          </cell>
        </row>
        <row r="316">
          <cell r="B316" t="str">
            <v>6407002</v>
          </cell>
          <cell r="C316" t="str">
            <v>นางสาวนัยนา  หั่นเสมอ</v>
          </cell>
          <cell r="D316" t="str">
            <v>QA/QC</v>
          </cell>
          <cell r="E316" t="str">
            <v>รายเดือน</v>
          </cell>
          <cell r="F316" t="str">
            <v>CAR</v>
          </cell>
          <cell r="G316" t="str">
            <v>QC Line</v>
          </cell>
        </row>
        <row r="317">
          <cell r="B317" t="str">
            <v>6407003</v>
          </cell>
          <cell r="C317" t="str">
            <v>นางสาวโสรญา  โสภะนาเลิศ</v>
          </cell>
          <cell r="D317" t="str">
            <v>EXT</v>
          </cell>
          <cell r="E317" t="str">
            <v>รายวัน</v>
          </cell>
          <cell r="F317" t="str">
            <v>CAR</v>
          </cell>
          <cell r="G317" t="str">
            <v>พนักงานทั่วไป</v>
          </cell>
        </row>
        <row r="318">
          <cell r="B318" t="str">
            <v>6407004</v>
          </cell>
          <cell r="C318" t="str">
            <v>นางสาวผกามาศ  ดัชถุยาวัตร</v>
          </cell>
          <cell r="D318" t="str">
            <v>PD</v>
          </cell>
          <cell r="E318" t="str">
            <v>รายเดือน</v>
          </cell>
          <cell r="F318" t="str">
            <v>CAR</v>
          </cell>
          <cell r="G318" t="str">
            <v>พนักงานธุรการ</v>
          </cell>
        </row>
        <row r="319">
          <cell r="B319" t="str">
            <v>6407005</v>
          </cell>
          <cell r="C319" t="str">
            <v>นางสาวรัตนาภรณ์  สืบมา</v>
          </cell>
          <cell r="D319" t="str">
            <v>PD</v>
          </cell>
          <cell r="E319" t="str">
            <v>รายเดือน</v>
          </cell>
          <cell r="F319" t="str">
            <v>CAR</v>
          </cell>
          <cell r="G319" t="str">
            <v>พนักงานธุรการ</v>
          </cell>
        </row>
        <row r="320">
          <cell r="B320" t="str">
            <v>6407006</v>
          </cell>
          <cell r="C320" t="str">
            <v>นางสาวปุณยาพร  ติงพันชั่ง</v>
          </cell>
          <cell r="D320" t="str">
            <v>QA/QC</v>
          </cell>
          <cell r="E320" t="str">
            <v>รายเดือน</v>
          </cell>
          <cell r="F320" t="str">
            <v>CAR</v>
          </cell>
          <cell r="G320" t="str">
            <v>QC Line</v>
          </cell>
        </row>
        <row r="321">
          <cell r="B321" t="str">
            <v>6407007</v>
          </cell>
          <cell r="C321" t="str">
            <v>นางสาวสุจิตตรา  ชมภูธวัช</v>
          </cell>
          <cell r="D321" t="str">
            <v>FIN&amp;ACC</v>
          </cell>
          <cell r="E321" t="str">
            <v>รายเดือน</v>
          </cell>
          <cell r="F321" t="str">
            <v>CAR</v>
          </cell>
          <cell r="G321" t="str">
            <v>เจ้าหน้าที่</v>
          </cell>
        </row>
        <row r="322">
          <cell r="B322" t="str">
            <v>6407008</v>
          </cell>
          <cell r="C322" t="str">
            <v>นางสาวมุทิตา  หาญคำตัน</v>
          </cell>
          <cell r="D322" t="str">
            <v>EN</v>
          </cell>
          <cell r="E322" t="str">
            <v>รายเดือน</v>
          </cell>
          <cell r="F322" t="str">
            <v>CAR</v>
          </cell>
          <cell r="G322" t="str">
            <v>ผู้จัดการ</v>
          </cell>
        </row>
        <row r="323">
          <cell r="B323" t="str">
            <v>6407009</v>
          </cell>
          <cell r="C323" t="str">
            <v>นายอโนชา  กันนิกา</v>
          </cell>
          <cell r="D323" t="str">
            <v>PD</v>
          </cell>
          <cell r="E323" t="str">
            <v>รายเดือน</v>
          </cell>
          <cell r="F323" t="str">
            <v>CAR</v>
          </cell>
          <cell r="G323" t="str">
            <v>หัวหน้าแผนก</v>
          </cell>
        </row>
        <row r="324">
          <cell r="B324" t="str">
            <v>6407010</v>
          </cell>
          <cell r="C324" t="str">
            <v>นายภานุวัฒน์  เชาว์สุโข</v>
          </cell>
          <cell r="D324" t="str">
            <v>PD</v>
          </cell>
          <cell r="E324" t="str">
            <v>รายเดือน</v>
          </cell>
          <cell r="F324" t="str">
            <v>CAR</v>
          </cell>
          <cell r="G324" t="str">
            <v>หัวหน้าหน่วย</v>
          </cell>
        </row>
        <row r="325">
          <cell r="B325" t="str">
            <v>6407011</v>
          </cell>
          <cell r="C325" t="str">
            <v>นางสาวการดา  แซ่โก</v>
          </cell>
          <cell r="D325" t="str">
            <v>QA/QC</v>
          </cell>
          <cell r="E325" t="str">
            <v>รายเดือน</v>
          </cell>
          <cell r="F325" t="str">
            <v>CAR</v>
          </cell>
          <cell r="G325" t="str">
            <v>QC Line</v>
          </cell>
        </row>
        <row r="326">
          <cell r="B326" t="str">
            <v>6407012</v>
          </cell>
          <cell r="C326" t="str">
            <v>นางสาวสุนิจราช  เรืองบุญ</v>
          </cell>
          <cell r="D326" t="str">
            <v>STO</v>
          </cell>
          <cell r="E326" t="str">
            <v>รายวัน</v>
          </cell>
          <cell r="F326" t="str">
            <v>CAR</v>
          </cell>
          <cell r="G326" t="str">
            <v>พนักงานทั่วไป</v>
          </cell>
        </row>
        <row r="327">
          <cell r="B327" t="str">
            <v>6407013</v>
          </cell>
          <cell r="C327" t="str">
            <v>นางสาวสุพัตรา  ใสสว่าง</v>
          </cell>
          <cell r="D327" t="str">
            <v>FNG-1</v>
          </cell>
          <cell r="E327" t="str">
            <v>รายวัน</v>
          </cell>
          <cell r="F327" t="str">
            <v>CAR</v>
          </cell>
          <cell r="G327" t="str">
            <v>พนักงานทั่วไป</v>
          </cell>
        </row>
        <row r="328">
          <cell r="B328" t="str">
            <v>6407014</v>
          </cell>
          <cell r="C328" t="str">
            <v>นายอนันต์ธนา  ปัญญาทอง</v>
          </cell>
          <cell r="D328" t="str">
            <v>MT</v>
          </cell>
          <cell r="E328" t="str">
            <v>รายเดือน</v>
          </cell>
          <cell r="F328" t="str">
            <v>CAR</v>
          </cell>
          <cell r="G328" t="str">
            <v>หัวหน้าแผนก</v>
          </cell>
        </row>
        <row r="329">
          <cell r="B329" t="str">
            <v>6407015</v>
          </cell>
          <cell r="C329" t="str">
            <v>นายเมธี  ถาอิ่นแก้ว</v>
          </cell>
          <cell r="D329" t="str">
            <v>EXT</v>
          </cell>
          <cell r="E329" t="str">
            <v>รายเดือน</v>
          </cell>
          <cell r="F329" t="str">
            <v>CAR</v>
          </cell>
          <cell r="G329" t="str">
            <v>พนักงานทั่วไป</v>
          </cell>
        </row>
        <row r="330">
          <cell r="B330" t="str">
            <v>6407016</v>
          </cell>
          <cell r="C330" t="str">
            <v>นางสาวพนิดชนก  ภูสีนาท</v>
          </cell>
          <cell r="D330" t="str">
            <v>FNG-6</v>
          </cell>
          <cell r="E330" t="str">
            <v>รายวัน</v>
          </cell>
          <cell r="F330" t="str">
            <v>CAR</v>
          </cell>
          <cell r="G330" t="str">
            <v>พนักงานทั่วไป</v>
          </cell>
        </row>
        <row r="331">
          <cell r="B331" t="str">
            <v>6407017</v>
          </cell>
          <cell r="C331" t="str">
            <v>นางสาวอรยา  เก้ารัมย์</v>
          </cell>
          <cell r="D331" t="str">
            <v>FNG-3</v>
          </cell>
          <cell r="E331" t="str">
            <v>รายวัน</v>
          </cell>
          <cell r="F331" t="str">
            <v>CAR</v>
          </cell>
          <cell r="G331" t="str">
            <v>พนักงานทั่วไป</v>
          </cell>
        </row>
        <row r="332">
          <cell r="B332" t="str">
            <v>6407018</v>
          </cell>
          <cell r="C332" t="str">
            <v>นางสาวกัญยาลักษณ์  เหล่าโนนคร้อ</v>
          </cell>
          <cell r="D332" t="str">
            <v>QA/QC</v>
          </cell>
          <cell r="E332" t="str">
            <v>รายเดือน</v>
          </cell>
          <cell r="F332" t="str">
            <v>CAR</v>
          </cell>
          <cell r="G332" t="str">
            <v>พนักงานทั่วไป</v>
          </cell>
        </row>
        <row r="333">
          <cell r="B333" t="str">
            <v>6407019</v>
          </cell>
          <cell r="C333" t="str">
            <v>นางสาวสุภาพร  บุตรตาเจียม</v>
          </cell>
          <cell r="D333" t="str">
            <v>FNG-3</v>
          </cell>
          <cell r="E333" t="str">
            <v>รายวัน</v>
          </cell>
          <cell r="F333" t="str">
            <v>CAR</v>
          </cell>
          <cell r="G333" t="str">
            <v>พนักงานทั่วไป</v>
          </cell>
        </row>
        <row r="334">
          <cell r="B334" t="str">
            <v>6407020</v>
          </cell>
          <cell r="C334" t="str">
            <v>นางสาวปัทมา   บังคัล</v>
          </cell>
          <cell r="D334" t="str">
            <v>FNG-3</v>
          </cell>
          <cell r="E334" t="str">
            <v>รายวัน</v>
          </cell>
          <cell r="F334" t="str">
            <v>CAR</v>
          </cell>
          <cell r="G334" t="str">
            <v>พนักงานทั่วไป</v>
          </cell>
        </row>
        <row r="335">
          <cell r="B335" t="str">
            <v>6407021</v>
          </cell>
          <cell r="C335" t="str">
            <v>นางสาวอัมพร  นามภักดี</v>
          </cell>
          <cell r="D335" t="str">
            <v>NT</v>
          </cell>
          <cell r="E335" t="str">
            <v>รายวัน</v>
          </cell>
          <cell r="F335" t="str">
            <v>CAR</v>
          </cell>
          <cell r="G335" t="str">
            <v>พนักงานทั่วไป</v>
          </cell>
        </row>
        <row r="336">
          <cell r="B336" t="str">
            <v>6407022</v>
          </cell>
          <cell r="C336" t="str">
            <v>นายกีรติ  เจริญพันธุวงศ์</v>
          </cell>
          <cell r="D336" t="str">
            <v>FMG-B</v>
          </cell>
          <cell r="E336" t="str">
            <v>รายวัน</v>
          </cell>
          <cell r="F336" t="str">
            <v>CAR</v>
          </cell>
          <cell r="G336" t="str">
            <v>พนักงานทั่วไป</v>
          </cell>
        </row>
        <row r="337">
          <cell r="B337" t="str">
            <v>6407023</v>
          </cell>
          <cell r="C337" t="str">
            <v>นายปรีชา  รักษาวงศ์</v>
          </cell>
          <cell r="D337" t="str">
            <v>FMG-B</v>
          </cell>
          <cell r="E337" t="str">
            <v>รายวัน</v>
          </cell>
          <cell r="F337" t="str">
            <v>CAR</v>
          </cell>
          <cell r="G337" t="str">
            <v>พนักงานทั่วไป</v>
          </cell>
        </row>
        <row r="338">
          <cell r="B338" t="str">
            <v>6407024</v>
          </cell>
          <cell r="C338" t="str">
            <v>นางสาวกมลพร  ปรีเจริญ</v>
          </cell>
          <cell r="D338" t="str">
            <v>PD</v>
          </cell>
          <cell r="E338" t="str">
            <v>รายเดือน</v>
          </cell>
          <cell r="F338" t="str">
            <v>CAR</v>
          </cell>
          <cell r="G338" t="str">
            <v>พนักงานธุรการ</v>
          </cell>
        </row>
        <row r="339">
          <cell r="B339" t="str">
            <v>6407025</v>
          </cell>
          <cell r="C339" t="str">
            <v>นายเพชร  มะยุระรักษ์</v>
          </cell>
          <cell r="D339" t="str">
            <v>EXT</v>
          </cell>
          <cell r="E339" t="str">
            <v>รายวัน</v>
          </cell>
          <cell r="F339" t="str">
            <v>CAR</v>
          </cell>
          <cell r="G339" t="str">
            <v>พนักงานทั่วไป</v>
          </cell>
        </row>
        <row r="340">
          <cell r="B340" t="str">
            <v>6408001</v>
          </cell>
          <cell r="C340" t="str">
            <v>นางสาวหัทยา  ประสานคำ</v>
          </cell>
          <cell r="D340" t="str">
            <v>FNG-2</v>
          </cell>
          <cell r="E340" t="str">
            <v>รายวัน</v>
          </cell>
          <cell r="F340" t="str">
            <v>CAR</v>
          </cell>
          <cell r="G340" t="str">
            <v>พนักงานทั่วไป</v>
          </cell>
        </row>
        <row r="341">
          <cell r="B341" t="str">
            <v>6408002</v>
          </cell>
          <cell r="C341" t="str">
            <v>นายสัญญา  เหลืองอ่อน</v>
          </cell>
          <cell r="D341" t="str">
            <v>FMG-B</v>
          </cell>
          <cell r="E341" t="str">
            <v>รายวัน</v>
          </cell>
          <cell r="F341" t="str">
            <v>CAR</v>
          </cell>
          <cell r="G341" t="str">
            <v>พนักงานทั่วไป</v>
          </cell>
        </row>
        <row r="342">
          <cell r="B342" t="str">
            <v>6408003</v>
          </cell>
          <cell r="C342" t="str">
            <v>นางสาวนภาพร  งามศิริ</v>
          </cell>
          <cell r="D342" t="str">
            <v>FIN&amp;ACC</v>
          </cell>
          <cell r="E342" t="str">
            <v>รายเดือน</v>
          </cell>
          <cell r="F342" t="str">
            <v>CAR</v>
          </cell>
          <cell r="G342" t="str">
            <v>เจ้าหน้าที่</v>
          </cell>
        </row>
        <row r="343">
          <cell r="B343" t="str">
            <v>6408004</v>
          </cell>
          <cell r="C343" t="str">
            <v>นางสาวสุธาสินี  นำโพธิ์เจริญพร</v>
          </cell>
          <cell r="D343" t="str">
            <v>QA/QC</v>
          </cell>
          <cell r="E343" t="str">
            <v>รายเดือน</v>
          </cell>
          <cell r="F343" t="str">
            <v>CAR</v>
          </cell>
          <cell r="G343" t="str">
            <v>QC Line</v>
          </cell>
        </row>
        <row r="344">
          <cell r="B344" t="str">
            <v>6408005</v>
          </cell>
          <cell r="C344" t="str">
            <v>นางสาวจริญญา  เสริมสิริภูมิมา</v>
          </cell>
          <cell r="D344" t="str">
            <v>FNG-1</v>
          </cell>
          <cell r="E344" t="str">
            <v>รายวัน</v>
          </cell>
          <cell r="F344" t="str">
            <v>CAR</v>
          </cell>
          <cell r="G344" t="str">
            <v>พนักงานทั่วไป</v>
          </cell>
        </row>
        <row r="345">
          <cell r="B345" t="str">
            <v>6408006</v>
          </cell>
          <cell r="C345" t="str">
            <v xml:space="preserve">นางสาว ใอลิน  ชอบการไร่  </v>
          </cell>
          <cell r="D345" t="str">
            <v>FNG-4</v>
          </cell>
          <cell r="E345" t="str">
            <v>รายเดือน</v>
          </cell>
          <cell r="F345" t="str">
            <v>CAR</v>
          </cell>
          <cell r="G345" t="str">
            <v>พนักงานทั่วไป</v>
          </cell>
        </row>
        <row r="346">
          <cell r="B346" t="str">
            <v>6408007</v>
          </cell>
          <cell r="C346" t="str">
            <v xml:space="preserve">นางสาว จำปี  ชาดง  </v>
          </cell>
          <cell r="D346" t="str">
            <v>FNG-1</v>
          </cell>
          <cell r="E346" t="str">
            <v>รายวัน</v>
          </cell>
          <cell r="F346" t="str">
            <v>CAR</v>
          </cell>
          <cell r="G346" t="str">
            <v>พนักงานทั่วไป</v>
          </cell>
        </row>
        <row r="347">
          <cell r="B347" t="str">
            <v>6408008</v>
          </cell>
          <cell r="C347" t="str">
            <v xml:space="preserve">นางสาว ภาวิดา  จันทวงศ์  </v>
          </cell>
          <cell r="D347" t="str">
            <v>FNG-4</v>
          </cell>
          <cell r="E347" t="str">
            <v>รายวัน</v>
          </cell>
          <cell r="F347" t="str">
            <v>CAR</v>
          </cell>
          <cell r="G347" t="str">
            <v>พนักงานทั่วไป</v>
          </cell>
        </row>
        <row r="348">
          <cell r="B348" t="str">
            <v>6408009</v>
          </cell>
          <cell r="C348" t="str">
            <v xml:space="preserve">นางสาว เบญจภรณ์  สมนึก  </v>
          </cell>
          <cell r="D348" t="str">
            <v>FNG-4</v>
          </cell>
          <cell r="E348" t="str">
            <v>รายวัน</v>
          </cell>
          <cell r="F348" t="str">
            <v>CAR</v>
          </cell>
          <cell r="G348" t="str">
            <v>พนักงานทั่วไป</v>
          </cell>
        </row>
        <row r="349">
          <cell r="B349" t="str">
            <v>6408010</v>
          </cell>
          <cell r="C349" t="str">
            <v xml:space="preserve">นางสาว อรพิน  คะติ  </v>
          </cell>
          <cell r="D349" t="str">
            <v>FNG-2</v>
          </cell>
          <cell r="E349" t="str">
            <v>รายวัน</v>
          </cell>
          <cell r="F349" t="str">
            <v>CAR</v>
          </cell>
          <cell r="G349" t="str">
            <v>พนักงานทั่วไป</v>
          </cell>
        </row>
        <row r="350">
          <cell r="B350" t="str">
            <v>6408011K</v>
          </cell>
          <cell r="C350" t="str">
            <v xml:space="preserve">นาย กฤษณะ  จันทร์ปุย  </v>
          </cell>
          <cell r="D350" t="str">
            <v>FMG-A</v>
          </cell>
          <cell r="E350" t="str">
            <v>รายวัน</v>
          </cell>
          <cell r="F350" t="str">
            <v>Sub Contract</v>
          </cell>
          <cell r="G350" t="str">
            <v>พนักงานทั่วไป</v>
          </cell>
        </row>
        <row r="351">
          <cell r="B351" t="str">
            <v>6408012K</v>
          </cell>
          <cell r="C351" t="str">
            <v xml:space="preserve">นาย นิติวัฒน์  ทิพยศ  </v>
          </cell>
          <cell r="D351" t="str">
            <v>FMG-A</v>
          </cell>
          <cell r="E351" t="str">
            <v>รายวัน</v>
          </cell>
          <cell r="F351" t="str">
            <v>Sub Contract</v>
          </cell>
          <cell r="G351" t="str">
            <v>พนักงานทั่วไป</v>
          </cell>
        </row>
        <row r="352">
          <cell r="B352" t="str">
            <v>6408013</v>
          </cell>
          <cell r="C352" t="str">
            <v xml:space="preserve">นาย พลพล  เจริญศิริ  </v>
          </cell>
          <cell r="D352" t="str">
            <v>FMG-A</v>
          </cell>
          <cell r="E352" t="str">
            <v>รายวัน</v>
          </cell>
          <cell r="F352" t="str">
            <v>CAR</v>
          </cell>
          <cell r="G352" t="str">
            <v>พนักงานทั่วไป</v>
          </cell>
        </row>
        <row r="353">
          <cell r="B353" t="str">
            <v>6408014</v>
          </cell>
          <cell r="C353" t="str">
            <v xml:space="preserve">นาย ชาญนนท์  พรเมือง  </v>
          </cell>
          <cell r="D353" t="str">
            <v>FMG-B</v>
          </cell>
          <cell r="E353" t="str">
            <v>รายวัน</v>
          </cell>
          <cell r="F353" t="str">
            <v>CAR</v>
          </cell>
          <cell r="G353" t="str">
            <v>พนักงานทั่วไป</v>
          </cell>
        </row>
        <row r="354">
          <cell r="B354" t="str">
            <v>6408015</v>
          </cell>
          <cell r="C354" t="str">
            <v xml:space="preserve">นางสาว อมรรัตน์  ทับทองดี  </v>
          </cell>
          <cell r="D354" t="str">
            <v>FNG-4</v>
          </cell>
          <cell r="E354" t="str">
            <v>รายวัน</v>
          </cell>
          <cell r="F354" t="str">
            <v>CAR</v>
          </cell>
          <cell r="G354" t="str">
            <v>พนักงานทั่วไป</v>
          </cell>
        </row>
        <row r="355">
          <cell r="B355" t="str">
            <v>6408016</v>
          </cell>
          <cell r="C355" t="str">
            <v xml:space="preserve">นางสาว กุลรัตน์  สุขขุม  </v>
          </cell>
          <cell r="D355" t="str">
            <v>STO</v>
          </cell>
          <cell r="E355" t="str">
            <v>รายวัน</v>
          </cell>
          <cell r="F355" t="str">
            <v>CAR</v>
          </cell>
          <cell r="G355" t="str">
            <v>พนักงานทั่วไป</v>
          </cell>
        </row>
        <row r="356">
          <cell r="B356" t="str">
            <v>6408017</v>
          </cell>
          <cell r="C356" t="str">
            <v xml:space="preserve">นางสาว ขนิษฐา  กองหนุน  </v>
          </cell>
          <cell r="D356" t="str">
            <v>FNG-1</v>
          </cell>
          <cell r="E356" t="str">
            <v>รายวัน</v>
          </cell>
          <cell r="F356" t="str">
            <v>CAR</v>
          </cell>
          <cell r="G356" t="str">
            <v>พนักงานทั่วไป</v>
          </cell>
        </row>
        <row r="357">
          <cell r="B357" t="str">
            <v>6408018</v>
          </cell>
          <cell r="C357" t="str">
            <v xml:space="preserve">นางสาว ปทิตตา  เทพพิจิตร  </v>
          </cell>
          <cell r="D357" t="str">
            <v>FNG-3</v>
          </cell>
          <cell r="E357" t="str">
            <v>รายวัน</v>
          </cell>
          <cell r="F357" t="str">
            <v>CAR</v>
          </cell>
          <cell r="G357" t="str">
            <v>พนักงานทั่วไป</v>
          </cell>
        </row>
        <row r="358">
          <cell r="B358" t="str">
            <v>6408019</v>
          </cell>
          <cell r="C358" t="str">
            <v xml:space="preserve">นางสาว ชญานิษฐ์  ปากแคว  </v>
          </cell>
          <cell r="D358" t="str">
            <v>FNG-1</v>
          </cell>
          <cell r="E358" t="str">
            <v>รายวัน</v>
          </cell>
          <cell r="F358" t="str">
            <v>CAR</v>
          </cell>
          <cell r="G358" t="str">
            <v>พนักงานทั่วไป</v>
          </cell>
        </row>
        <row r="359">
          <cell r="B359" t="str">
            <v>6408020</v>
          </cell>
          <cell r="C359" t="str">
            <v xml:space="preserve">นางสาว สุภางค์  ตากิ่มนอก  </v>
          </cell>
          <cell r="D359" t="str">
            <v>FNG-1</v>
          </cell>
          <cell r="E359" t="str">
            <v>รายวัน</v>
          </cell>
          <cell r="F359" t="str">
            <v>CAR</v>
          </cell>
          <cell r="G359" t="str">
            <v>พนักงานทั่วไป</v>
          </cell>
        </row>
        <row r="360">
          <cell r="B360" t="str">
            <v>6408021</v>
          </cell>
          <cell r="C360" t="str">
            <v xml:space="preserve">นางสาว ละอองดาว  ใจฉ่ำ  </v>
          </cell>
          <cell r="D360" t="str">
            <v>FNG-1</v>
          </cell>
          <cell r="E360" t="str">
            <v>รายวัน</v>
          </cell>
          <cell r="F360" t="str">
            <v>CAR</v>
          </cell>
          <cell r="G360" t="str">
            <v>พนักงานทั่วไป</v>
          </cell>
        </row>
        <row r="361">
          <cell r="B361" t="str">
            <v>6408022</v>
          </cell>
          <cell r="C361" t="str">
            <v xml:space="preserve">นางสาว ณัฐฑิฏา  คำภา  </v>
          </cell>
          <cell r="D361" t="str">
            <v>FNG-6</v>
          </cell>
          <cell r="E361" t="str">
            <v>รายวัน</v>
          </cell>
          <cell r="F361" t="str">
            <v>CAR</v>
          </cell>
          <cell r="G361" t="str">
            <v>พนักงานทั่วไป</v>
          </cell>
        </row>
        <row r="362">
          <cell r="B362" t="str">
            <v>6408023</v>
          </cell>
          <cell r="C362" t="str">
            <v xml:space="preserve">นาย บดินทร์ฤทธิ์  เสมอชาติ  </v>
          </cell>
          <cell r="D362" t="str">
            <v>QA/QC</v>
          </cell>
          <cell r="E362" t="str">
            <v>รายเดือน</v>
          </cell>
          <cell r="F362" t="str">
            <v>CAR</v>
          </cell>
          <cell r="G362" t="str">
            <v>QC Line</v>
          </cell>
        </row>
        <row r="363">
          <cell r="B363" t="str">
            <v>6408024</v>
          </cell>
          <cell r="C363" t="str">
            <v xml:space="preserve">นางสาว พีชญา  แก้วตาธนวัฒ  </v>
          </cell>
          <cell r="D363" t="str">
            <v>QA/QC</v>
          </cell>
          <cell r="E363" t="str">
            <v>รายเดือน</v>
          </cell>
          <cell r="F363" t="str">
            <v>CAR</v>
          </cell>
          <cell r="G363" t="str">
            <v>QC Line</v>
          </cell>
        </row>
        <row r="364">
          <cell r="B364" t="str">
            <v>6408025</v>
          </cell>
          <cell r="C364" t="str">
            <v xml:space="preserve">นางสาว อรอุมา  ศรีมีเอี่ยม  </v>
          </cell>
          <cell r="D364" t="str">
            <v>FMG-B</v>
          </cell>
          <cell r="E364" t="str">
            <v>รายวัน</v>
          </cell>
          <cell r="F364" t="str">
            <v>CAR</v>
          </cell>
          <cell r="G364" t="str">
            <v>พนักงานทั่วไป</v>
          </cell>
        </row>
        <row r="365">
          <cell r="B365" t="str">
            <v>6408026</v>
          </cell>
          <cell r="C365" t="str">
            <v xml:space="preserve">นางสาว จินตนา  สิทธิผล  </v>
          </cell>
          <cell r="D365" t="str">
            <v>FNG-1</v>
          </cell>
          <cell r="E365" t="str">
            <v>รายวัน</v>
          </cell>
          <cell r="F365" t="str">
            <v>CAR</v>
          </cell>
          <cell r="G365" t="str">
            <v>พนักงานทั่วไป</v>
          </cell>
        </row>
        <row r="366">
          <cell r="B366" t="str">
            <v>6408027</v>
          </cell>
          <cell r="C366" t="str">
            <v xml:space="preserve">นางสาว ประภัสสร  ยาสาไชย  </v>
          </cell>
          <cell r="D366" t="str">
            <v>FNG-1</v>
          </cell>
          <cell r="E366" t="str">
            <v>รายวัน</v>
          </cell>
          <cell r="F366" t="str">
            <v>CAR</v>
          </cell>
          <cell r="G366" t="str">
            <v>พนักงานทั่วไป</v>
          </cell>
        </row>
        <row r="367">
          <cell r="B367" t="str">
            <v>6408028</v>
          </cell>
          <cell r="C367" t="str">
            <v xml:space="preserve">นางสาว ฬศจพร  สินเจริญทรัพย์  </v>
          </cell>
          <cell r="D367" t="str">
            <v>PD</v>
          </cell>
          <cell r="E367" t="str">
            <v>รายเดือน</v>
          </cell>
          <cell r="F367" t="str">
            <v>CAR</v>
          </cell>
          <cell r="G367" t="str">
            <v>พนักงานธุรการ</v>
          </cell>
        </row>
        <row r="368">
          <cell r="B368" t="str">
            <v>6408029</v>
          </cell>
          <cell r="C368" t="str">
            <v>นาย เฉลิมพล  แก่นนาคำ</v>
          </cell>
          <cell r="D368" t="str">
            <v>FMG-B</v>
          </cell>
          <cell r="E368" t="str">
            <v>รายวัน</v>
          </cell>
          <cell r="F368" t="str">
            <v>CAR</v>
          </cell>
          <cell r="G368" t="str">
            <v>พนักงานทั่วไป</v>
          </cell>
        </row>
        <row r="369">
          <cell r="B369" t="str">
            <v>6408030</v>
          </cell>
          <cell r="C369" t="str">
            <v xml:space="preserve">นางสาว ปวีณา  เห็นสุุข  </v>
          </cell>
          <cell r="D369" t="str">
            <v>FNG-6</v>
          </cell>
          <cell r="E369" t="str">
            <v>รายวัน</v>
          </cell>
          <cell r="F369" t="str">
            <v>CAR</v>
          </cell>
          <cell r="G369" t="str">
            <v>พนักงานทั่วไป</v>
          </cell>
        </row>
        <row r="370">
          <cell r="B370" t="str">
            <v>6408031</v>
          </cell>
          <cell r="C370" t="str">
            <v xml:space="preserve">นาย จงรัก  อจิมา  </v>
          </cell>
          <cell r="D370" t="str">
            <v>EN</v>
          </cell>
          <cell r="E370" t="str">
            <v>รายเดือน</v>
          </cell>
          <cell r="F370" t="str">
            <v>CAR</v>
          </cell>
          <cell r="G370" t="str">
            <v>วิศวกร</v>
          </cell>
        </row>
        <row r="371">
          <cell r="B371" t="str">
            <v>6408032</v>
          </cell>
          <cell r="C371" t="str">
            <v xml:space="preserve">นางสาว นิลุบล  นามวงษ์  </v>
          </cell>
          <cell r="D371" t="str">
            <v>PD</v>
          </cell>
          <cell r="E371" t="str">
            <v>รายเดือน</v>
          </cell>
          <cell r="F371" t="str">
            <v>CAR</v>
          </cell>
          <cell r="G371" t="str">
            <v>พนักงานธุรการ</v>
          </cell>
        </row>
        <row r="372">
          <cell r="B372" t="str">
            <v>6408033</v>
          </cell>
          <cell r="C372" t="str">
            <v>นาย หนึ่ง  พงษ์สุวรรณ</v>
          </cell>
          <cell r="D372" t="str">
            <v>PD</v>
          </cell>
          <cell r="E372" t="str">
            <v>รายเดือน</v>
          </cell>
          <cell r="F372" t="str">
            <v>CAR</v>
          </cell>
          <cell r="G372" t="str">
            <v>ผู้ช่วยหัวหน้าหน่วย</v>
          </cell>
        </row>
        <row r="373">
          <cell r="B373" t="str">
            <v>6408034</v>
          </cell>
          <cell r="C373" t="str">
            <v>นาย  ศรัณยู  นามวิเศษ</v>
          </cell>
          <cell r="D373" t="str">
            <v>FMG-A</v>
          </cell>
          <cell r="E373" t="str">
            <v>รายวัน</v>
          </cell>
          <cell r="F373" t="str">
            <v>CAR</v>
          </cell>
          <cell r="G373" t="str">
            <v>พนักงานทั่วไป</v>
          </cell>
        </row>
        <row r="374">
          <cell r="B374" t="str">
            <v>6408035</v>
          </cell>
          <cell r="C374" t="str">
            <v>นาย ณัฐดนัย  จันทิหล้า</v>
          </cell>
          <cell r="D374" t="str">
            <v>FMG-A</v>
          </cell>
          <cell r="E374" t="str">
            <v>รายวัน</v>
          </cell>
          <cell r="F374" t="str">
            <v>CAR</v>
          </cell>
          <cell r="G374" t="str">
            <v>พนักงานทั่วไป</v>
          </cell>
        </row>
        <row r="375">
          <cell r="B375" t="str">
            <v>6408036</v>
          </cell>
          <cell r="C375" t="str">
            <v>นายวัชระ  ลำดวนหอม</v>
          </cell>
          <cell r="D375" t="str">
            <v>FMG-A</v>
          </cell>
          <cell r="E375" t="str">
            <v>รายวัน</v>
          </cell>
          <cell r="F375" t="str">
            <v>CAR</v>
          </cell>
          <cell r="G375" t="str">
            <v>พนักงานทั่วไป</v>
          </cell>
        </row>
        <row r="376">
          <cell r="B376" t="str">
            <v>6408037</v>
          </cell>
          <cell r="C376" t="str">
            <v>นาย ธนภัทร  ฟ้าใสสิรินันท์</v>
          </cell>
          <cell r="D376" t="str">
            <v>FMG-B</v>
          </cell>
          <cell r="E376" t="str">
            <v>รายวัน</v>
          </cell>
          <cell r="F376" t="str">
            <v>CAR</v>
          </cell>
          <cell r="G376" t="str">
            <v>พนักงานทั่วไป</v>
          </cell>
        </row>
        <row r="377">
          <cell r="B377" t="str">
            <v>6408038</v>
          </cell>
          <cell r="C377" t="str">
            <v>นางสาว วันวิสา  จับแก้ว</v>
          </cell>
          <cell r="D377" t="str">
            <v>FNG-1</v>
          </cell>
          <cell r="E377" t="str">
            <v>รายวัน</v>
          </cell>
          <cell r="F377" t="str">
            <v>CAR</v>
          </cell>
          <cell r="G377" t="str">
            <v>พนักงานทั่วไป</v>
          </cell>
        </row>
        <row r="378">
          <cell r="B378" t="str">
            <v>6408039</v>
          </cell>
          <cell r="C378" t="str">
            <v>นายประทวน  วันบุญ</v>
          </cell>
          <cell r="D378" t="str">
            <v>STO</v>
          </cell>
          <cell r="E378" t="str">
            <v>รายวัน</v>
          </cell>
          <cell r="F378" t="str">
            <v>CAR</v>
          </cell>
          <cell r="G378" t="str">
            <v>พนักงานทั่วไป</v>
          </cell>
        </row>
        <row r="379">
          <cell r="B379" t="str">
            <v>6408040</v>
          </cell>
          <cell r="C379" t="str">
            <v>นายธีรภัทร์  บุญพันธ์</v>
          </cell>
          <cell r="D379" t="str">
            <v>STO</v>
          </cell>
          <cell r="E379" t="str">
            <v>รายวัน</v>
          </cell>
          <cell r="F379" t="str">
            <v>CAR</v>
          </cell>
          <cell r="G379" t="str">
            <v>พนักงานทั่วไป</v>
          </cell>
        </row>
        <row r="380">
          <cell r="B380" t="str">
            <v>6408041</v>
          </cell>
          <cell r="C380" t="str">
            <v>นายจุฑาวัชร  มูลละหัตร์</v>
          </cell>
          <cell r="D380" t="str">
            <v>FMG-B</v>
          </cell>
          <cell r="E380" t="str">
            <v>รายวัน</v>
          </cell>
          <cell r="F380" t="str">
            <v>CAR</v>
          </cell>
          <cell r="G380" t="str">
            <v>พนักงานทั่วไป</v>
          </cell>
        </row>
        <row r="381">
          <cell r="B381" t="str">
            <v>6408042</v>
          </cell>
          <cell r="C381" t="str">
            <v>นางสาวกัณฐมณี   ไม้ขนุน</v>
          </cell>
          <cell r="D381" t="str">
            <v>EN</v>
          </cell>
          <cell r="E381" t="str">
            <v>รายเดือน</v>
          </cell>
          <cell r="F381" t="str">
            <v>CAR</v>
          </cell>
          <cell r="G381" t="str">
            <v>วิศวกร</v>
          </cell>
        </row>
        <row r="382">
          <cell r="B382" t="str">
            <v>6408043</v>
          </cell>
          <cell r="C382" t="str">
            <v>นางสาวจิรัชญา   สีทา</v>
          </cell>
          <cell r="D382" t="str">
            <v>EXT</v>
          </cell>
          <cell r="E382" t="str">
            <v>รายเดือน</v>
          </cell>
          <cell r="F382" t="str">
            <v>CAR</v>
          </cell>
          <cell r="G382" t="str">
            <v>พนักงานทั่วไป</v>
          </cell>
        </row>
        <row r="383">
          <cell r="B383">
            <v>6408044</v>
          </cell>
          <cell r="C383" t="str">
            <v>นางสาวเพชรลัดดา   ภูมิคอนสาร</v>
          </cell>
          <cell r="D383" t="str">
            <v>FMG-A</v>
          </cell>
          <cell r="E383" t="str">
            <v>รายวัน</v>
          </cell>
          <cell r="F383" t="str">
            <v>CAR</v>
          </cell>
          <cell r="G383" t="str">
            <v>พนักงานทั่วไป</v>
          </cell>
        </row>
        <row r="384">
          <cell r="B384" t="str">
            <v>6408045</v>
          </cell>
          <cell r="C384" t="str">
            <v>นายสิริศักดิ์   ธุระธรรม</v>
          </cell>
          <cell r="D384" t="str">
            <v>EN</v>
          </cell>
          <cell r="E384" t="str">
            <v>รายวัน</v>
          </cell>
          <cell r="F384" t="str">
            <v>CAR</v>
          </cell>
          <cell r="G384" t="str">
            <v>พนักงานทั่วไป</v>
          </cell>
        </row>
        <row r="385">
          <cell r="B385" t="str">
            <v>6409001</v>
          </cell>
          <cell r="C385" t="str">
            <v>นายวิทยา   พรมโม้</v>
          </cell>
          <cell r="D385" t="str">
            <v>PD</v>
          </cell>
          <cell r="E385" t="str">
            <v>รายเดือน</v>
          </cell>
          <cell r="F385" t="str">
            <v>CAR</v>
          </cell>
          <cell r="G385" t="str">
            <v>ผู้ช่วยหัวหน้าหน่วย</v>
          </cell>
        </row>
        <row r="386">
          <cell r="B386" t="str">
            <v>6409002</v>
          </cell>
          <cell r="C386" t="str">
            <v>นายชนะพล   อินพุ่ม</v>
          </cell>
          <cell r="D386" t="str">
            <v>FMG-B</v>
          </cell>
          <cell r="E386" t="str">
            <v>รายวัน</v>
          </cell>
          <cell r="F386" t="str">
            <v>CAR</v>
          </cell>
          <cell r="G386" t="str">
            <v>พนักงานทั่วไป</v>
          </cell>
        </row>
        <row r="387">
          <cell r="B387" t="str">
            <v>6409003</v>
          </cell>
          <cell r="C387" t="str">
            <v>นายทิพย์ชยพล   อิงครัตจิโรจน์</v>
          </cell>
          <cell r="D387" t="str">
            <v>FMG-B</v>
          </cell>
          <cell r="E387" t="str">
            <v>รายวัน</v>
          </cell>
          <cell r="F387" t="str">
            <v>CAR</v>
          </cell>
          <cell r="G387" t="str">
            <v>พนักงานทั่วไป</v>
          </cell>
        </row>
        <row r="388">
          <cell r="B388" t="str">
            <v>6409004</v>
          </cell>
          <cell r="C388" t="str">
            <v>นางสาวนันท์นภัส   อุทัยวัฒน์</v>
          </cell>
          <cell r="D388" t="str">
            <v>CUT</v>
          </cell>
          <cell r="E388" t="str">
            <v>รายวัน</v>
          </cell>
          <cell r="F388" t="str">
            <v>CAR</v>
          </cell>
          <cell r="G388" t="str">
            <v>พนักงานทั่วไป</v>
          </cell>
        </row>
        <row r="389">
          <cell r="B389" t="str">
            <v>6409005</v>
          </cell>
          <cell r="C389" t="str">
            <v>นางสาวมณีนุช   สิทธิผล</v>
          </cell>
          <cell r="D389" t="str">
            <v>NT</v>
          </cell>
          <cell r="E389" t="str">
            <v>รายวัน</v>
          </cell>
          <cell r="F389" t="str">
            <v>CAR</v>
          </cell>
          <cell r="G389" t="str">
            <v>พนักงานทั่วไป</v>
          </cell>
        </row>
        <row r="390">
          <cell r="B390" t="str">
            <v>6409006</v>
          </cell>
          <cell r="C390" t="str">
            <v>นายสุระเดช   แพทย์มด</v>
          </cell>
          <cell r="D390" t="str">
            <v>STO</v>
          </cell>
          <cell r="E390" t="str">
            <v>รายวัน</v>
          </cell>
          <cell r="F390" t="str">
            <v>CAR</v>
          </cell>
          <cell r="G390" t="str">
            <v>พนักงานทั่วไป</v>
          </cell>
        </row>
        <row r="391">
          <cell r="B391" t="str">
            <v>6409007</v>
          </cell>
          <cell r="C391" t="str">
            <v xml:space="preserve">นายชาญชัย  เสียงเพราะ  </v>
          </cell>
          <cell r="D391" t="str">
            <v>STO</v>
          </cell>
          <cell r="E391" t="str">
            <v>รายวัน</v>
          </cell>
          <cell r="F391" t="str">
            <v>CAR</v>
          </cell>
          <cell r="G391" t="str">
            <v>พนักงานทั่วไป</v>
          </cell>
        </row>
        <row r="392">
          <cell r="B392" t="str">
            <v>6409008</v>
          </cell>
          <cell r="C392" t="str">
            <v>นายสุจิตรชัย  ภูขาว</v>
          </cell>
          <cell r="D392" t="str">
            <v>PD</v>
          </cell>
          <cell r="E392" t="str">
            <v>รายเดือน</v>
          </cell>
          <cell r="F392" t="str">
            <v>CAR</v>
          </cell>
          <cell r="G392" t="str">
            <v>เจ้าหน้าที่</v>
          </cell>
        </row>
        <row r="393">
          <cell r="B393" t="str">
            <v>6409009</v>
          </cell>
          <cell r="C393" t="str">
            <v>นายธงชัย  เพชรศรี</v>
          </cell>
          <cell r="D393" t="str">
            <v>FMG-A</v>
          </cell>
          <cell r="E393" t="str">
            <v>รายวัน</v>
          </cell>
          <cell r="F393" t="str">
            <v>CAR</v>
          </cell>
          <cell r="G393" t="str">
            <v>พนักงานทั่วไป</v>
          </cell>
        </row>
        <row r="394">
          <cell r="B394" t="str">
            <v>6409010</v>
          </cell>
          <cell r="C394" t="str">
            <v>นายสุเมธ  ก๋องวงศ์</v>
          </cell>
          <cell r="D394" t="str">
            <v>FMG-B</v>
          </cell>
          <cell r="E394" t="str">
            <v>รายวัน</v>
          </cell>
          <cell r="F394" t="str">
            <v>CAR</v>
          </cell>
          <cell r="G394" t="str">
            <v>พนักงานทั่วไป</v>
          </cell>
        </row>
        <row r="395">
          <cell r="B395" t="str">
            <v>6409011</v>
          </cell>
          <cell r="C395" t="str">
            <v>นายณัฐวัฒน์  พากพรม</v>
          </cell>
          <cell r="D395" t="str">
            <v>FMG-B</v>
          </cell>
          <cell r="E395" t="str">
            <v>รายวัน</v>
          </cell>
          <cell r="F395" t="str">
            <v>CAR</v>
          </cell>
          <cell r="G395" t="str">
            <v>พนักงานทั่วไป</v>
          </cell>
        </row>
        <row r="396">
          <cell r="B396" t="str">
            <v>6409012</v>
          </cell>
          <cell r="C396" t="str">
            <v>นายวสันต์  พรมหลวงสี</v>
          </cell>
          <cell r="D396" t="str">
            <v>FMG-A</v>
          </cell>
          <cell r="E396" t="str">
            <v>รายวัน</v>
          </cell>
          <cell r="F396" t="str">
            <v>CAR</v>
          </cell>
          <cell r="G396" t="str">
            <v>พนักงานทั่วไป</v>
          </cell>
        </row>
        <row r="397">
          <cell r="B397" t="str">
            <v>6409013</v>
          </cell>
          <cell r="C397" t="str">
            <v>นายศักดิ์สิทธิ์  มณีวรรณ</v>
          </cell>
          <cell r="D397" t="str">
            <v>QA/QC</v>
          </cell>
          <cell r="E397" t="str">
            <v>รายเดือน</v>
          </cell>
          <cell r="F397" t="str">
            <v>CAR</v>
          </cell>
          <cell r="G397" t="str">
            <v>เจ้าหน้าที่</v>
          </cell>
        </row>
        <row r="398">
          <cell r="B398" t="str">
            <v>6409014</v>
          </cell>
          <cell r="C398" t="str">
            <v>นางสาวดวงตะวัน  สิงห์น้อย</v>
          </cell>
          <cell r="D398" t="str">
            <v>FIN&amp;ACC</v>
          </cell>
          <cell r="E398" t="str">
            <v>รายเดือน</v>
          </cell>
          <cell r="F398" t="str">
            <v>CAR</v>
          </cell>
          <cell r="G398" t="str">
            <v>เจ้าหน้าที่</v>
          </cell>
        </row>
        <row r="399">
          <cell r="B399" t="str">
            <v>6409015</v>
          </cell>
          <cell r="C399" t="str">
            <v>นายวิษณุ  สมบูรณ์</v>
          </cell>
          <cell r="D399" t="str">
            <v>EN</v>
          </cell>
          <cell r="E399" t="str">
            <v>รายวัน</v>
          </cell>
          <cell r="F399" t="str">
            <v>CAR</v>
          </cell>
          <cell r="G399" t="str">
            <v>พนักงานทั่วไป</v>
          </cell>
        </row>
        <row r="400">
          <cell r="B400" t="str">
            <v>6409016</v>
          </cell>
          <cell r="C400" t="str">
            <v>นายธเนศร์  ณรงค์ฤทธิ์</v>
          </cell>
          <cell r="D400" t="str">
            <v>EN</v>
          </cell>
          <cell r="E400" t="str">
            <v>รายวัน</v>
          </cell>
          <cell r="F400" t="str">
            <v>CAR</v>
          </cell>
          <cell r="G400" t="str">
            <v>พนักงานทั่วไป</v>
          </cell>
        </row>
        <row r="401">
          <cell r="B401" t="str">
            <v>6409017</v>
          </cell>
          <cell r="C401" t="str">
            <v>นายเผชิญ  เทินสะเกษ</v>
          </cell>
          <cell r="D401" t="str">
            <v>FMG-A</v>
          </cell>
          <cell r="E401" t="str">
            <v>รายเดือน</v>
          </cell>
          <cell r="F401" t="str">
            <v>CAR</v>
          </cell>
          <cell r="G401" t="str">
            <v>set up mold</v>
          </cell>
        </row>
        <row r="402">
          <cell r="B402" t="str">
            <v>6409018</v>
          </cell>
          <cell r="C402" t="str">
            <v>นายประสาน  นาคนวล</v>
          </cell>
          <cell r="D402" t="str">
            <v>FMG-B</v>
          </cell>
          <cell r="E402" t="str">
            <v>รายวัน</v>
          </cell>
          <cell r="F402" t="str">
            <v>CAR</v>
          </cell>
          <cell r="G402" t="str">
            <v>พนักงานทั่วไป</v>
          </cell>
        </row>
        <row r="403">
          <cell r="B403" t="str">
            <v>6409019</v>
          </cell>
          <cell r="C403" t="str">
            <v>นายกิตตินันท์  กันชูผล</v>
          </cell>
          <cell r="D403" t="str">
            <v>FMG-A</v>
          </cell>
          <cell r="E403" t="str">
            <v>รายเดือน</v>
          </cell>
          <cell r="F403" t="str">
            <v>CAR</v>
          </cell>
          <cell r="G403" t="str">
            <v>พนักงานทั่วไป</v>
          </cell>
        </row>
        <row r="404">
          <cell r="B404" t="str">
            <v>6410001</v>
          </cell>
          <cell r="C404" t="str">
            <v>นายธงชัย  สังข์ทอง</v>
          </cell>
          <cell r="D404" t="str">
            <v>FMG-B</v>
          </cell>
          <cell r="E404" t="str">
            <v>รายวัน</v>
          </cell>
          <cell r="F404" t="str">
            <v>CAR</v>
          </cell>
          <cell r="G404" t="str">
            <v>พนักงานทั่วไป</v>
          </cell>
        </row>
        <row r="405">
          <cell r="B405" t="str">
            <v>6410002</v>
          </cell>
          <cell r="C405" t="str">
            <v>นายธนากร  ทองที</v>
          </cell>
          <cell r="D405" t="str">
            <v>FMG-B</v>
          </cell>
          <cell r="E405" t="str">
            <v>รายวัน</v>
          </cell>
          <cell r="F405" t="str">
            <v>CAR</v>
          </cell>
          <cell r="G405" t="str">
            <v>พนักงานทั่วไป</v>
          </cell>
        </row>
        <row r="406">
          <cell r="B406" t="str">
            <v>6410003</v>
          </cell>
          <cell r="C406" t="str">
            <v>นายธีรพงศ์  วังคีรี</v>
          </cell>
          <cell r="D406" t="str">
            <v>FMG-B</v>
          </cell>
          <cell r="E406" t="str">
            <v>รายวัน</v>
          </cell>
          <cell r="F406" t="str">
            <v>CAR</v>
          </cell>
          <cell r="G406" t="str">
            <v>พนักงานทั่วไป</v>
          </cell>
        </row>
        <row r="407">
          <cell r="B407" t="str">
            <v>6410004</v>
          </cell>
          <cell r="C407" t="str">
            <v>นางอัจฉราพรรณ  บุญตา</v>
          </cell>
          <cell r="D407" t="str">
            <v>FIN&amp;ACC</v>
          </cell>
          <cell r="E407" t="str">
            <v>รายเดือน</v>
          </cell>
          <cell r="F407" t="str">
            <v>CAR</v>
          </cell>
          <cell r="G407" t="str">
            <v>เจ้าหน้าที่</v>
          </cell>
        </row>
        <row r="408">
          <cell r="B408" t="str">
            <v>6410005</v>
          </cell>
          <cell r="C408" t="str">
            <v>นางสาวญาณิศา  โสรจันทร์</v>
          </cell>
          <cell r="D408" t="str">
            <v>STO</v>
          </cell>
          <cell r="E408" t="str">
            <v>รายวัน</v>
          </cell>
          <cell r="F408" t="str">
            <v>CAR</v>
          </cell>
          <cell r="G408" t="str">
            <v>พนักงานทั่วไป</v>
          </cell>
        </row>
        <row r="409">
          <cell r="B409" t="str">
            <v>6410006</v>
          </cell>
          <cell r="C409" t="str">
            <v>นางสาวเบญจรัตน์  เผ่าทอง</v>
          </cell>
          <cell r="D409" t="str">
            <v>STO</v>
          </cell>
          <cell r="E409" t="str">
            <v>รายวัน</v>
          </cell>
          <cell r="F409" t="str">
            <v>CAR</v>
          </cell>
          <cell r="G409" t="str">
            <v>พนักงานทั่วไป</v>
          </cell>
        </row>
        <row r="410">
          <cell r="B410" t="str">
            <v>6410007</v>
          </cell>
          <cell r="C410" t="str">
            <v>นายอนุชา  โตประโคน</v>
          </cell>
          <cell r="D410" t="str">
            <v>EN</v>
          </cell>
          <cell r="E410" t="str">
            <v>รายวัน</v>
          </cell>
          <cell r="F410" t="str">
            <v>CAR</v>
          </cell>
          <cell r="G410" t="str">
            <v>พนักงานทั่วไป</v>
          </cell>
        </row>
        <row r="411">
          <cell r="B411" t="str">
            <v>6410008</v>
          </cell>
          <cell r="C411" t="str">
            <v>นางสาววิไลวรรณ  สราญรมย์</v>
          </cell>
          <cell r="D411" t="str">
            <v>FIN&amp;ACC</v>
          </cell>
          <cell r="E411" t="str">
            <v>รายเดือน</v>
          </cell>
          <cell r="F411" t="str">
            <v>CAR</v>
          </cell>
          <cell r="G411" t="str">
            <v>เจ้าหน้าที่</v>
          </cell>
        </row>
        <row r="412">
          <cell r="B412" t="str">
            <v>6410009</v>
          </cell>
          <cell r="C412" t="str">
            <v>นายธัญธวัช  ศรัทธาธรรม</v>
          </cell>
          <cell r="D412" t="str">
            <v>EN</v>
          </cell>
          <cell r="E412" t="str">
            <v>รายเดือน</v>
          </cell>
          <cell r="F412" t="str">
            <v>CAR</v>
          </cell>
          <cell r="G412" t="str">
            <v>ช่างเทคนิค</v>
          </cell>
        </row>
        <row r="413">
          <cell r="B413" t="str">
            <v>6410010</v>
          </cell>
          <cell r="C413" t="str">
            <v>นางสาววิไลลักษณ์  เล่ห์เหลี่ยม</v>
          </cell>
          <cell r="D413" t="str">
            <v>STO</v>
          </cell>
          <cell r="E413" t="str">
            <v>รายวัน</v>
          </cell>
          <cell r="F413" t="str">
            <v>CAR</v>
          </cell>
          <cell r="G413" t="str">
            <v>พนักงานทั่วไป</v>
          </cell>
        </row>
        <row r="414">
          <cell r="B414" t="str">
            <v>6410011</v>
          </cell>
          <cell r="C414" t="str">
            <v>นางสาวธิตินันท์ จันทนุภา</v>
          </cell>
          <cell r="D414" t="str">
            <v>MK</v>
          </cell>
          <cell r="E414" t="str">
            <v>รายวัน</v>
          </cell>
          <cell r="F414" t="str">
            <v>CAR</v>
          </cell>
          <cell r="G414" t="str">
            <v>พนักงานทั่วไป</v>
          </cell>
        </row>
        <row r="415">
          <cell r="B415" t="str">
            <v>6411001</v>
          </cell>
          <cell r="C415" t="str">
            <v>นายคม  ทัพเสลา</v>
          </cell>
          <cell r="D415" t="str">
            <v>FMG-A</v>
          </cell>
          <cell r="E415" t="str">
            <v>รายวัน</v>
          </cell>
          <cell r="F415" t="str">
            <v>CAR</v>
          </cell>
          <cell r="G415" t="str">
            <v>พนักงานทั่วไป</v>
          </cell>
        </row>
        <row r="416">
          <cell r="B416" t="str">
            <v>6411002</v>
          </cell>
          <cell r="C416" t="str">
            <v>นายทัฬห์ธเนศ  มั่งคั่ง</v>
          </cell>
          <cell r="D416" t="str">
            <v>FMG-A</v>
          </cell>
          <cell r="E416" t="str">
            <v>รายวัน</v>
          </cell>
          <cell r="F416" t="str">
            <v>CAR</v>
          </cell>
          <cell r="G416" t="str">
            <v>พนักงานทั่วไป</v>
          </cell>
        </row>
        <row r="417">
          <cell r="B417" t="str">
            <v>6411003</v>
          </cell>
          <cell r="C417" t="str">
            <v>นายเกียรติศักดิ์  บุตตะกะ</v>
          </cell>
          <cell r="D417" t="str">
            <v>FMG-A</v>
          </cell>
          <cell r="E417" t="str">
            <v>รายวัน</v>
          </cell>
          <cell r="F417" t="str">
            <v>CAR</v>
          </cell>
          <cell r="G417" t="str">
            <v>พนักงานทั่วไป</v>
          </cell>
        </row>
        <row r="418">
          <cell r="B418" t="str">
            <v>6411004T</v>
          </cell>
          <cell r="C418" t="str">
            <v>นายวิชาญ  ปัชฌาบุตร</v>
          </cell>
          <cell r="D418" t="str">
            <v>EN</v>
          </cell>
          <cell r="E418" t="str">
            <v>รายวัน</v>
          </cell>
          <cell r="F418" t="str">
            <v>Sub Contract</v>
          </cell>
          <cell r="G418" t="str">
            <v>พนักงานทั่วไป</v>
          </cell>
        </row>
        <row r="419">
          <cell r="B419" t="str">
            <v>6411005T</v>
          </cell>
          <cell r="C419" t="str">
            <v>นายมงคล  ฉัตรรักษา</v>
          </cell>
          <cell r="D419" t="str">
            <v>CUT</v>
          </cell>
          <cell r="E419" t="str">
            <v>รายวัน</v>
          </cell>
          <cell r="F419" t="str">
            <v>Sub Contract</v>
          </cell>
          <cell r="G419" t="str">
            <v>พนักงานทั่วไป</v>
          </cell>
        </row>
        <row r="420">
          <cell r="B420" t="str">
            <v>6411006T</v>
          </cell>
          <cell r="C420" t="str">
            <v>นายจิรายุ  ศรีจันทราทร</v>
          </cell>
          <cell r="D420" t="str">
            <v>EXT</v>
          </cell>
          <cell r="E420" t="str">
            <v>รายวัน</v>
          </cell>
          <cell r="F420" t="str">
            <v>Sub Contract</v>
          </cell>
          <cell r="G420" t="str">
            <v>พนักงานทั่วไป</v>
          </cell>
        </row>
        <row r="421">
          <cell r="B421" t="str">
            <v>6411007T</v>
          </cell>
          <cell r="C421" t="str">
            <v>นายณัฐพัชร์  ชยุตวรพงศ์</v>
          </cell>
          <cell r="D421" t="str">
            <v>EN</v>
          </cell>
          <cell r="E421" t="str">
            <v>รายวัน</v>
          </cell>
          <cell r="F421" t="str">
            <v>Sub Contract</v>
          </cell>
          <cell r="G421" t="str">
            <v>พนักงานทั่วไป</v>
          </cell>
        </row>
        <row r="422">
          <cell r="B422" t="str">
            <v>6411008T</v>
          </cell>
          <cell r="C422" t="str">
            <v>นางสาวสุภาวีน์  สิริสม</v>
          </cell>
          <cell r="D422" t="str">
            <v>EXT</v>
          </cell>
          <cell r="E422" t="str">
            <v>รายวัน</v>
          </cell>
          <cell r="F422" t="str">
            <v>Sub Contract</v>
          </cell>
          <cell r="G422" t="str">
            <v>พนักงานทั่วไป</v>
          </cell>
        </row>
        <row r="423">
          <cell r="B423" t="str">
            <v>6411009T</v>
          </cell>
          <cell r="C423" t="str">
            <v>นายนโม  ศรีสมัย</v>
          </cell>
          <cell r="D423" t="str">
            <v>FMG-A</v>
          </cell>
          <cell r="E423" t="str">
            <v>รายวัน</v>
          </cell>
          <cell r="F423" t="str">
            <v>Sub Contract</v>
          </cell>
          <cell r="G423" t="str">
            <v>พนักงานทั่วไป</v>
          </cell>
        </row>
        <row r="424">
          <cell r="B424" t="str">
            <v>6411010</v>
          </cell>
          <cell r="C424" t="str">
            <v>นายมนตรา  บุตตอินทร์</v>
          </cell>
          <cell r="D424" t="str">
            <v>PC</v>
          </cell>
          <cell r="E424" t="str">
            <v>รายเดือน</v>
          </cell>
          <cell r="F424" t="str">
            <v>CAR</v>
          </cell>
          <cell r="G424" t="str">
            <v>เจ้าหน้าที่</v>
          </cell>
        </row>
        <row r="425">
          <cell r="B425" t="str">
            <v>6410011T</v>
          </cell>
          <cell r="C425" t="str">
            <v>นายชินกร  คำนอก</v>
          </cell>
          <cell r="D425" t="str">
            <v>FMG-A</v>
          </cell>
          <cell r="E425" t="str">
            <v>รายวัน</v>
          </cell>
          <cell r="F425" t="str">
            <v>Sub Contract</v>
          </cell>
          <cell r="G425" t="str">
            <v>พนักงานทั่วไป</v>
          </cell>
        </row>
        <row r="426">
          <cell r="B426" t="str">
            <v>6411012T</v>
          </cell>
          <cell r="C426" t="str">
            <v>นายมาโนช  วงค์นก</v>
          </cell>
          <cell r="D426" t="str">
            <v>CUT</v>
          </cell>
          <cell r="E426" t="str">
            <v>รายวัน</v>
          </cell>
          <cell r="F426" t="str">
            <v>Sub Contract</v>
          </cell>
          <cell r="G426" t="str">
            <v>พนักงานทั่วไป</v>
          </cell>
        </row>
        <row r="427">
          <cell r="B427" t="str">
            <v>6411013T</v>
          </cell>
          <cell r="C427" t="str">
            <v>นายอังกูร  ศิริหลวง</v>
          </cell>
          <cell r="D427" t="str">
            <v>EN</v>
          </cell>
          <cell r="E427" t="str">
            <v>รายวัน</v>
          </cell>
          <cell r="F427" t="str">
            <v>Sub Contract</v>
          </cell>
          <cell r="G427" t="str">
            <v>พนักงานทั่วไป</v>
          </cell>
        </row>
        <row r="428">
          <cell r="B428" t="str">
            <v>6411014T</v>
          </cell>
          <cell r="C428" t="str">
            <v>นายสันชัย  โกศล</v>
          </cell>
          <cell r="D428" t="str">
            <v>FMG-A</v>
          </cell>
          <cell r="E428" t="str">
            <v>รายวัน</v>
          </cell>
          <cell r="F428" t="str">
            <v>Sub Contract</v>
          </cell>
          <cell r="G428" t="str">
            <v>พนักงานทั่วไป</v>
          </cell>
        </row>
        <row r="429">
          <cell r="B429">
            <v>6411015</v>
          </cell>
          <cell r="C429" t="str">
            <v>นายอานนท์  เค้าแดน</v>
          </cell>
          <cell r="D429" t="str">
            <v>FMG-B</v>
          </cell>
          <cell r="E429" t="str">
            <v>รายวัน</v>
          </cell>
          <cell r="F429" t="str">
            <v>CAR</v>
          </cell>
          <cell r="G429" t="str">
            <v>พนักงานทั่วไป</v>
          </cell>
        </row>
        <row r="430">
          <cell r="B430">
            <v>6411016</v>
          </cell>
          <cell r="C430" t="str">
            <v>นายบรรจง  ดาวเรือง</v>
          </cell>
          <cell r="D430" t="str">
            <v>FMG-A</v>
          </cell>
          <cell r="E430" t="str">
            <v>รายวัน</v>
          </cell>
          <cell r="F430" t="str">
            <v>CAR</v>
          </cell>
          <cell r="G430" t="str">
            <v>พนักงานทั่วไป</v>
          </cell>
        </row>
        <row r="431">
          <cell r="B431">
            <v>6411017</v>
          </cell>
          <cell r="C431" t="str">
            <v>นายปัญญา  เดชรอด</v>
          </cell>
          <cell r="D431" t="str">
            <v>FMG-A</v>
          </cell>
          <cell r="E431" t="str">
            <v>รายวัน</v>
          </cell>
          <cell r="F431" t="str">
            <v>CAR</v>
          </cell>
          <cell r="G431" t="str">
            <v>พนักงานทั่วไป</v>
          </cell>
        </row>
        <row r="432">
          <cell r="B432" t="str">
            <v>6411018T</v>
          </cell>
          <cell r="C432" t="str">
            <v>นายพิชัย  ศรีสมบูรณ์</v>
          </cell>
          <cell r="D432" t="str">
            <v>FMG-B</v>
          </cell>
          <cell r="E432" t="str">
            <v>รายวัน</v>
          </cell>
          <cell r="F432" t="str">
            <v>Sub Contract</v>
          </cell>
          <cell r="G432" t="str">
            <v>พนักงานทั่วไป</v>
          </cell>
        </row>
        <row r="433">
          <cell r="B433" t="str">
            <v>6411019T</v>
          </cell>
          <cell r="C433" t="str">
            <v>นายนภัทร  แนววิเศษ</v>
          </cell>
          <cell r="D433" t="str">
            <v>FMG-B</v>
          </cell>
          <cell r="E433" t="str">
            <v>รายวัน</v>
          </cell>
          <cell r="F433" t="str">
            <v>Sub Contract</v>
          </cell>
          <cell r="G433" t="str">
            <v>พนักงานทั่วไป</v>
          </cell>
        </row>
        <row r="434">
          <cell r="B434" t="str">
            <v>6411020T</v>
          </cell>
          <cell r="C434" t="str">
            <v>นางสาวรัชนี  บุตทศ</v>
          </cell>
          <cell r="D434" t="str">
            <v>STO</v>
          </cell>
          <cell r="E434" t="str">
            <v>รายวัน</v>
          </cell>
          <cell r="F434" t="str">
            <v>Sub Contract</v>
          </cell>
          <cell r="G434" t="str">
            <v>พนักงานทั่วไป</v>
          </cell>
        </row>
        <row r="435">
          <cell r="B435" t="str">
            <v>6411021T</v>
          </cell>
          <cell r="C435" t="str">
            <v>นายสถาพร  ประมวลทอง</v>
          </cell>
          <cell r="D435" t="str">
            <v>EXT</v>
          </cell>
          <cell r="E435" t="str">
            <v>รายวัน</v>
          </cell>
          <cell r="F435" t="str">
            <v>Sub Contract</v>
          </cell>
          <cell r="G435" t="str">
            <v>พนักงานทั่วไป</v>
          </cell>
        </row>
        <row r="436">
          <cell r="B436" t="str">
            <v>6411022S</v>
          </cell>
          <cell r="C436" t="str">
            <v>นายพชร  กสิโกศล</v>
          </cell>
          <cell r="D436" t="str">
            <v>STO</v>
          </cell>
          <cell r="E436" t="str">
            <v>รายวัน</v>
          </cell>
          <cell r="F436" t="str">
            <v>Trainees</v>
          </cell>
          <cell r="G436" t="str">
            <v>พนักงานทั่วไป</v>
          </cell>
        </row>
        <row r="437">
          <cell r="B437">
            <v>6411023</v>
          </cell>
          <cell r="C437" t="str">
            <v>นายเนติ  ส่องสว่าง</v>
          </cell>
          <cell r="D437" t="str">
            <v>FMG-B</v>
          </cell>
          <cell r="E437" t="str">
            <v>รายวัน</v>
          </cell>
          <cell r="F437" t="str">
            <v>CAR</v>
          </cell>
          <cell r="G437" t="str">
            <v>พนักงานทั่วไป</v>
          </cell>
        </row>
        <row r="438">
          <cell r="B438">
            <v>6411024</v>
          </cell>
          <cell r="C438" t="str">
            <v>นายอุทิศ  สุวรรณวงส์</v>
          </cell>
          <cell r="D438" t="str">
            <v>FMG-B</v>
          </cell>
          <cell r="E438" t="str">
            <v>รายวัน</v>
          </cell>
          <cell r="F438" t="str">
            <v>CAR</v>
          </cell>
          <cell r="G438" t="str">
            <v>พนักงานทั่วไป</v>
          </cell>
        </row>
        <row r="439">
          <cell r="B439" t="str">
            <v>6411025T</v>
          </cell>
          <cell r="C439" t="str">
            <v>นายยศสันต์  ดาวมหาราช</v>
          </cell>
          <cell r="D439" t="str">
            <v>FMG-B</v>
          </cell>
          <cell r="E439" t="str">
            <v>รายวัน</v>
          </cell>
          <cell r="F439" t="str">
            <v>Sub Contract</v>
          </cell>
          <cell r="G439" t="str">
            <v>พนักงานทั่วไป</v>
          </cell>
        </row>
        <row r="440">
          <cell r="B440">
            <v>6411026</v>
          </cell>
          <cell r="C440" t="str">
            <v>นางสาวอภิญญา  พันธ์แน่น</v>
          </cell>
          <cell r="D440" t="str">
            <v>FMG-B</v>
          </cell>
          <cell r="E440" t="str">
            <v>รายวัน</v>
          </cell>
          <cell r="F440" t="str">
            <v>CAR</v>
          </cell>
          <cell r="G440" t="str">
            <v>พนักงานทั่วไป</v>
          </cell>
        </row>
        <row r="441">
          <cell r="B441">
            <v>6411027</v>
          </cell>
          <cell r="C441" t="str">
            <v>นายจิรภาส  ฐานะ</v>
          </cell>
          <cell r="D441" t="str">
            <v>FMG-B</v>
          </cell>
          <cell r="E441" t="str">
            <v>รายวัน</v>
          </cell>
          <cell r="F441" t="str">
            <v>CAR</v>
          </cell>
          <cell r="G441" t="str">
            <v>พนักงานทั่วไป</v>
          </cell>
        </row>
        <row r="442">
          <cell r="B442">
            <v>6411028</v>
          </cell>
          <cell r="C442" t="str">
            <v>นายสุบรรณ  โพธิ์ขาว</v>
          </cell>
          <cell r="D442" t="str">
            <v>QA/QC</v>
          </cell>
          <cell r="E442" t="str">
            <v>รายเดือน</v>
          </cell>
          <cell r="F442" t="str">
            <v>CAR</v>
          </cell>
          <cell r="G442" t="str">
            <v>QC Line</v>
          </cell>
        </row>
        <row r="443">
          <cell r="B443">
            <v>6411029</v>
          </cell>
          <cell r="C443" t="str">
            <v>นางสาวอนุสรา  ฤาเดช</v>
          </cell>
          <cell r="D443" t="str">
            <v>EN</v>
          </cell>
          <cell r="E443" t="str">
            <v>รายวัน</v>
          </cell>
          <cell r="F443" t="str">
            <v>CAR</v>
          </cell>
          <cell r="G443" t="str">
            <v>พนักงานทั่วไป</v>
          </cell>
        </row>
        <row r="444">
          <cell r="B444">
            <v>6412001</v>
          </cell>
          <cell r="C444" t="str">
            <v>นางสาวภัททิรา  ทองภาพ</v>
          </cell>
          <cell r="D444" t="str">
            <v>QA/QC</v>
          </cell>
          <cell r="E444" t="str">
            <v>รายเดือน</v>
          </cell>
          <cell r="F444" t="str">
            <v>CAR</v>
          </cell>
          <cell r="G444" t="str">
            <v>หัวหน้าแผนก</v>
          </cell>
        </row>
        <row r="445">
          <cell r="B445">
            <v>6412002</v>
          </cell>
          <cell r="C445" t="str">
            <v>นายธีระยุทธ  วารินทร์</v>
          </cell>
          <cell r="D445" t="str">
            <v>FMG-B</v>
          </cell>
          <cell r="E445" t="str">
            <v>รายวัน</v>
          </cell>
          <cell r="F445" t="str">
            <v>CAR</v>
          </cell>
          <cell r="G445" t="str">
            <v>พนักงานทั่วไป</v>
          </cell>
        </row>
        <row r="446">
          <cell r="B446">
            <v>6412003</v>
          </cell>
          <cell r="C446" t="str">
            <v>นายมานะ  สุคงเจริญ</v>
          </cell>
          <cell r="D446" t="str">
            <v>FMG-B</v>
          </cell>
          <cell r="E446" t="str">
            <v>รายวัน</v>
          </cell>
          <cell r="F446" t="str">
            <v>CAR</v>
          </cell>
          <cell r="G446" t="str">
            <v>พนักงานทั่วไป</v>
          </cell>
        </row>
        <row r="447">
          <cell r="B447">
            <v>6412004</v>
          </cell>
          <cell r="C447" t="str">
            <v>นายสราวุฒิ  กรรณลา</v>
          </cell>
          <cell r="D447" t="str">
            <v>FMG-B</v>
          </cell>
          <cell r="E447" t="str">
            <v>รายวัน</v>
          </cell>
          <cell r="F447" t="str">
            <v>CAR</v>
          </cell>
          <cell r="G447" t="str">
            <v>พนักงานทั่วไป</v>
          </cell>
        </row>
        <row r="448">
          <cell r="B448" t="str">
            <v>6412005T</v>
          </cell>
          <cell r="C448" t="str">
            <v>นายจิรศักดิ์  อินทร์วารี</v>
          </cell>
          <cell r="D448" t="str">
            <v>FMG-B</v>
          </cell>
          <cell r="E448" t="str">
            <v>รายวัน</v>
          </cell>
          <cell r="F448" t="str">
            <v>Sub Contract</v>
          </cell>
          <cell r="G448" t="str">
            <v>พนักงานทั่วไป</v>
          </cell>
        </row>
        <row r="449">
          <cell r="B449">
            <v>6412006</v>
          </cell>
          <cell r="C449" t="str">
            <v>นายอาทิตย์  สอนบาล</v>
          </cell>
          <cell r="D449" t="str">
            <v>FMG-A</v>
          </cell>
          <cell r="E449" t="str">
            <v>รายวัน</v>
          </cell>
          <cell r="F449" t="str">
            <v>CAR</v>
          </cell>
          <cell r="G449" t="str">
            <v>พนักงานทั่วไป</v>
          </cell>
        </row>
        <row r="450">
          <cell r="B450">
            <v>6412007</v>
          </cell>
          <cell r="C450" t="str">
            <v>นายยงยุทธ  ทนโนนแดง</v>
          </cell>
          <cell r="D450" t="str">
            <v>FMG-A</v>
          </cell>
          <cell r="E450" t="str">
            <v>รายวัน</v>
          </cell>
          <cell r="F450" t="str">
            <v>CAR</v>
          </cell>
          <cell r="G450" t="str">
            <v>พนักงานทั่วไป</v>
          </cell>
        </row>
        <row r="451">
          <cell r="B451">
            <v>6412008</v>
          </cell>
          <cell r="C451" t="str">
            <v>นายเจนณรงค์ คะเชนรัมย์</v>
          </cell>
          <cell r="D451" t="str">
            <v>FMG-A</v>
          </cell>
          <cell r="E451" t="str">
            <v>รายวัน</v>
          </cell>
          <cell r="F451" t="str">
            <v>CAR</v>
          </cell>
          <cell r="G451" t="str">
            <v>พนักงานทั่วไป</v>
          </cell>
        </row>
        <row r="452">
          <cell r="B452">
            <v>6412009</v>
          </cell>
          <cell r="C452" t="str">
            <v>นายธีรพงษ์  มณีศรี</v>
          </cell>
          <cell r="D452" t="str">
            <v>FMG-A</v>
          </cell>
          <cell r="E452" t="str">
            <v>รายวัน</v>
          </cell>
          <cell r="F452" t="str">
            <v>CAR</v>
          </cell>
          <cell r="G452" t="str">
            <v>พนักงานทั่วไป</v>
          </cell>
        </row>
        <row r="453">
          <cell r="B453">
            <v>6412010</v>
          </cell>
          <cell r="C453" t="str">
            <v>นางสาวจันทร์สุดา  ไกรรัตน์</v>
          </cell>
          <cell r="D453" t="str">
            <v>EN</v>
          </cell>
          <cell r="E453" t="str">
            <v>รายวัน</v>
          </cell>
          <cell r="F453" t="str">
            <v>CAR</v>
          </cell>
          <cell r="G453" t="str">
            <v>พนักงานทั่วไป</v>
          </cell>
        </row>
        <row r="454">
          <cell r="B454">
            <v>6412011</v>
          </cell>
          <cell r="C454" t="str">
            <v>นางสาวนุชกานต์  ฦาฤทธิ์</v>
          </cell>
          <cell r="D454" t="str">
            <v>PD</v>
          </cell>
          <cell r="E454" t="str">
            <v>รายเดือน</v>
          </cell>
          <cell r="F454" t="str">
            <v>CAR</v>
          </cell>
          <cell r="G454" t="str">
            <v>พนักงานธุรการ</v>
          </cell>
        </row>
        <row r="455">
          <cell r="B455">
            <v>6412012</v>
          </cell>
          <cell r="C455" t="str">
            <v>นางสาวชณากาญ  ไพเราะ</v>
          </cell>
          <cell r="D455" t="str">
            <v>QA/QC</v>
          </cell>
          <cell r="E455" t="str">
            <v>รายเดือน</v>
          </cell>
          <cell r="F455" t="str">
            <v>CAR</v>
          </cell>
          <cell r="G455" t="str">
            <v>QC Line</v>
          </cell>
        </row>
        <row r="456">
          <cell r="B456">
            <v>6412013</v>
          </cell>
          <cell r="C456" t="str">
            <v>นางสาวสุภาพร  ขวานอก</v>
          </cell>
          <cell r="D456" t="str">
            <v>QA/QC</v>
          </cell>
          <cell r="E456" t="str">
            <v>รายเดือน</v>
          </cell>
          <cell r="F456" t="str">
            <v>CAR</v>
          </cell>
          <cell r="G456" t="str">
            <v>QC Line</v>
          </cell>
        </row>
        <row r="457">
          <cell r="B457">
            <v>6412014</v>
          </cell>
          <cell r="C457" t="str">
            <v>นายคมกฤษ  พระพิจิตร</v>
          </cell>
          <cell r="D457" t="str">
            <v>FMG-A</v>
          </cell>
          <cell r="E457" t="str">
            <v>รายวัน</v>
          </cell>
          <cell r="F457" t="str">
            <v>CAR</v>
          </cell>
          <cell r="G457" t="str">
            <v>พนักงานทั่วไป</v>
          </cell>
        </row>
        <row r="458">
          <cell r="B458">
            <v>6412015</v>
          </cell>
          <cell r="C458" t="str">
            <v>นายภคิน  การัมย์</v>
          </cell>
          <cell r="D458" t="str">
            <v>FMG-A</v>
          </cell>
          <cell r="E458" t="str">
            <v>รายวัน</v>
          </cell>
          <cell r="F458" t="str">
            <v>CAR</v>
          </cell>
          <cell r="G458" t="str">
            <v>พนักงานทั่วไป</v>
          </cell>
        </row>
        <row r="459">
          <cell r="B459" t="str">
            <v>6412016G</v>
          </cell>
          <cell r="C459" t="str">
            <v>นายสาคร  ตะคุมพันธ์</v>
          </cell>
          <cell r="D459" t="str">
            <v>FMG-A</v>
          </cell>
          <cell r="E459" t="str">
            <v>รายวัน</v>
          </cell>
          <cell r="F459" t="str">
            <v>Sub Contract</v>
          </cell>
          <cell r="G459" t="str">
            <v>พนักงานทั่วไป</v>
          </cell>
        </row>
        <row r="460">
          <cell r="B460" t="str">
            <v>6412017G</v>
          </cell>
          <cell r="C460" t="str">
            <v>นายพงษ์สวัสด์  ประเสริฐสังข์</v>
          </cell>
          <cell r="D460" t="str">
            <v>FMG-A</v>
          </cell>
          <cell r="E460" t="str">
            <v>รายวัน</v>
          </cell>
          <cell r="F460" t="str">
            <v>Sub Contract</v>
          </cell>
          <cell r="G460" t="str">
            <v>พนักงานทั่วไป</v>
          </cell>
        </row>
        <row r="461">
          <cell r="B461">
            <v>6412018</v>
          </cell>
          <cell r="C461" t="str">
            <v>นางสาวสมฤดี  ใยมุง</v>
          </cell>
          <cell r="D461" t="str">
            <v>QA/QC</v>
          </cell>
          <cell r="E461" t="str">
            <v>รายเดือน</v>
          </cell>
          <cell r="F461" t="str">
            <v>CAR</v>
          </cell>
          <cell r="G461" t="str">
            <v>QC Line</v>
          </cell>
        </row>
        <row r="462">
          <cell r="B462">
            <v>6412019</v>
          </cell>
          <cell r="C462" t="str">
            <v>นางสาวอภิญญา  ไกรยบุตร</v>
          </cell>
          <cell r="D462" t="str">
            <v>EN</v>
          </cell>
          <cell r="E462" t="str">
            <v>รายวัน</v>
          </cell>
          <cell r="F462" t="str">
            <v>CAR</v>
          </cell>
          <cell r="G462" t="str">
            <v>พนักงานทั่วไป</v>
          </cell>
        </row>
        <row r="463">
          <cell r="B463" t="str">
            <v>6412020G</v>
          </cell>
          <cell r="C463" t="str">
            <v>นายประชารัตน์  พงษ์โพธิ์</v>
          </cell>
          <cell r="D463" t="str">
            <v>FMG-A</v>
          </cell>
          <cell r="E463" t="str">
            <v>รายวัน</v>
          </cell>
          <cell r="F463" t="str">
            <v>Sub Contract</v>
          </cell>
          <cell r="G463" t="str">
            <v>พนักงานทั่วไป</v>
          </cell>
        </row>
        <row r="464">
          <cell r="B464" t="str">
            <v>6412021G</v>
          </cell>
          <cell r="C464" t="str">
            <v>นายสนธยา  จันทะพาหะ</v>
          </cell>
          <cell r="D464" t="str">
            <v>EN</v>
          </cell>
          <cell r="E464" t="str">
            <v>รายวัน</v>
          </cell>
          <cell r="F464" t="str">
            <v>Sub Contract</v>
          </cell>
          <cell r="G464" t="str">
            <v>พนักงานทั่วไป</v>
          </cell>
        </row>
        <row r="465">
          <cell r="B465" t="str">
            <v>6412022G</v>
          </cell>
          <cell r="C465" t="str">
            <v>นายปทิต  พรมเมืองเปลือย</v>
          </cell>
          <cell r="D465" t="str">
            <v>FMG-A</v>
          </cell>
          <cell r="E465" t="str">
            <v>รายวัน</v>
          </cell>
          <cell r="F465" t="str">
            <v>Sub Contract</v>
          </cell>
          <cell r="G465" t="str">
            <v>พนักงานทั่วไป</v>
          </cell>
        </row>
        <row r="466">
          <cell r="B466">
            <v>6501001</v>
          </cell>
          <cell r="C466" t="str">
            <v>นายวิโรจน์  หลักคำ</v>
          </cell>
          <cell r="D466" t="str">
            <v>MT</v>
          </cell>
          <cell r="E466" t="str">
            <v>รายเดือน</v>
          </cell>
          <cell r="F466" t="str">
            <v>CAR</v>
          </cell>
          <cell r="G466" t="str">
            <v>ช่างซ่อมบำรุง</v>
          </cell>
        </row>
        <row r="467">
          <cell r="B467" t="str">
            <v>6501002G</v>
          </cell>
          <cell r="C467" t="str">
            <v>นางสาวปิยะรัตน์  ใจตรง</v>
          </cell>
          <cell r="D467" t="str">
            <v>EN</v>
          </cell>
          <cell r="E467" t="str">
            <v>รายวัน</v>
          </cell>
          <cell r="F467" t="str">
            <v>Sub Contract</v>
          </cell>
          <cell r="G467" t="str">
            <v>พนักงานทั่วไป</v>
          </cell>
        </row>
        <row r="468">
          <cell r="B468" t="str">
            <v>6501003G</v>
          </cell>
          <cell r="C468" t="str">
            <v>นางสาวนิตยา  ศรีฟ้า</v>
          </cell>
          <cell r="D468" t="str">
            <v>STO</v>
          </cell>
          <cell r="E468" t="str">
            <v>รายวัน</v>
          </cell>
          <cell r="F468" t="str">
            <v>Sub Contract</v>
          </cell>
          <cell r="G468" t="str">
            <v>พนักงานทั่วไป</v>
          </cell>
        </row>
        <row r="469">
          <cell r="B469" t="str">
            <v>6501004G</v>
          </cell>
          <cell r="C469" t="str">
            <v>นายจิรกร  เหลืองอ่อน</v>
          </cell>
          <cell r="D469" t="str">
            <v>FMG-A</v>
          </cell>
          <cell r="E469" t="str">
            <v>รายวัน</v>
          </cell>
          <cell r="F469" t="str">
            <v>Sub Contract</v>
          </cell>
          <cell r="G469" t="str">
            <v>พนักงานทั่วไป</v>
          </cell>
        </row>
        <row r="470">
          <cell r="B470" t="str">
            <v>6501005G</v>
          </cell>
          <cell r="C470" t="str">
            <v>นายสุริยา  พันธะมา</v>
          </cell>
          <cell r="D470" t="str">
            <v>FMG-A</v>
          </cell>
          <cell r="E470" t="str">
            <v>รายวัน</v>
          </cell>
          <cell r="F470" t="str">
            <v>Sub Contract</v>
          </cell>
          <cell r="G470" t="str">
            <v>พนักงานทั่วไป</v>
          </cell>
        </row>
        <row r="471">
          <cell r="B471" t="str">
            <v>6501006G</v>
          </cell>
          <cell r="C471" t="str">
            <v>นายศักดิ์ธร  เที่ยงธรรม</v>
          </cell>
          <cell r="D471" t="str">
            <v>NT</v>
          </cell>
          <cell r="E471" t="str">
            <v>รายวัน</v>
          </cell>
          <cell r="F471" t="str">
            <v>Sub Contract</v>
          </cell>
          <cell r="G471" t="str">
            <v>พนักงานทั่วไป</v>
          </cell>
        </row>
        <row r="472">
          <cell r="B472" t="str">
            <v>6501007G</v>
          </cell>
          <cell r="C472" t="str">
            <v>นายบันพุท  สุทธิวิเศษ</v>
          </cell>
          <cell r="D472" t="str">
            <v>FMG-A</v>
          </cell>
          <cell r="E472" t="str">
            <v>รายวัน</v>
          </cell>
          <cell r="F472" t="str">
            <v>Sub Contract</v>
          </cell>
          <cell r="G472" t="str">
            <v>พนักงานทั่วไป</v>
          </cell>
        </row>
        <row r="473">
          <cell r="B473" t="str">
            <v>6501008G</v>
          </cell>
          <cell r="C473" t="str">
            <v>นายวิรพล  สมมุดถี</v>
          </cell>
          <cell r="D473" t="str">
            <v>FMG-A</v>
          </cell>
          <cell r="E473" t="str">
            <v>รายวัน</v>
          </cell>
          <cell r="F473" t="str">
            <v>Sub Contract</v>
          </cell>
          <cell r="G473" t="str">
            <v>พนักงานทั่วไป</v>
          </cell>
        </row>
        <row r="474">
          <cell r="B474" t="str">
            <v>6501009G</v>
          </cell>
          <cell r="C474" t="str">
            <v>นายอนุพันธุ์  พวงทอง</v>
          </cell>
          <cell r="D474" t="str">
            <v>EN</v>
          </cell>
          <cell r="E474" t="str">
            <v>รายวัน</v>
          </cell>
          <cell r="F474" t="str">
            <v>Sub Contract</v>
          </cell>
          <cell r="G474" t="str">
            <v>พนักงานทั่วไป</v>
          </cell>
        </row>
        <row r="475">
          <cell r="B475">
            <v>6501010</v>
          </cell>
          <cell r="C475" t="str">
            <v>นางสาวนีร น้อยหัวหาด</v>
          </cell>
          <cell r="D475" t="str">
            <v>MK</v>
          </cell>
          <cell r="E475" t="str">
            <v>รายเดือน</v>
          </cell>
          <cell r="F475" t="str">
            <v>CAR</v>
          </cell>
          <cell r="G475" t="str">
            <v>เจ้าหน้าที่</v>
          </cell>
        </row>
        <row r="476">
          <cell r="B476" t="str">
            <v>6501011T</v>
          </cell>
          <cell r="C476" t="str">
            <v>นางสาวธัญชนก  มาเฉลิม</v>
          </cell>
          <cell r="D476" t="str">
            <v>FNG-4</v>
          </cell>
          <cell r="E476" t="str">
            <v>รายวัน</v>
          </cell>
          <cell r="F476" t="str">
            <v>Sub Contract</v>
          </cell>
          <cell r="G476" t="str">
            <v>พนักงานทั่วไป</v>
          </cell>
        </row>
        <row r="477">
          <cell r="B477" t="str">
            <v>6501012T</v>
          </cell>
          <cell r="C477" t="str">
            <v>นางสาวกิตติญา  บูรณชาติ</v>
          </cell>
          <cell r="D477" t="str">
            <v>FNG-2</v>
          </cell>
          <cell r="E477" t="str">
            <v>รายวัน</v>
          </cell>
          <cell r="F477" t="str">
            <v>Sub Contract</v>
          </cell>
          <cell r="G477" t="str">
            <v>พนักงานทั่วไป</v>
          </cell>
        </row>
        <row r="478">
          <cell r="B478" t="str">
            <v>6501013T</v>
          </cell>
          <cell r="C478" t="str">
            <v>นางสาวปิยะดา  คำศรี</v>
          </cell>
          <cell r="D478" t="str">
            <v>FNG-6</v>
          </cell>
          <cell r="E478" t="str">
            <v>รายวัน</v>
          </cell>
          <cell r="F478" t="str">
            <v>Sub Contract</v>
          </cell>
          <cell r="G478" t="str">
            <v>พนักงานทั่วไป</v>
          </cell>
        </row>
        <row r="479">
          <cell r="B479" t="str">
            <v>6501014T</v>
          </cell>
          <cell r="C479" t="str">
            <v>นางสาวสาวิตรี  ขอชื่นกลาง</v>
          </cell>
          <cell r="D479" t="str">
            <v>FNG-6</v>
          </cell>
          <cell r="E479" t="str">
            <v>รายวัน</v>
          </cell>
          <cell r="F479" t="str">
            <v>Sub Contract</v>
          </cell>
          <cell r="G479" t="str">
            <v>พนักงานทั่วไป</v>
          </cell>
        </row>
        <row r="480">
          <cell r="B480" t="str">
            <v>6501015G</v>
          </cell>
          <cell r="C480" t="str">
            <v>นางสาวนันทิพร  สวนสนุก</v>
          </cell>
          <cell r="D480" t="str">
            <v>EXT</v>
          </cell>
          <cell r="E480" t="str">
            <v>รายวัน</v>
          </cell>
          <cell r="F480" t="str">
            <v>Sub Contract</v>
          </cell>
          <cell r="G480" t="str">
            <v>พนักงานทั่วไป</v>
          </cell>
        </row>
        <row r="481">
          <cell r="B481" t="str">
            <v>6501016T</v>
          </cell>
          <cell r="C481" t="str">
            <v>นายยุรทิตย์  เหล่าเลิศ</v>
          </cell>
          <cell r="D481" t="str">
            <v>MIX</v>
          </cell>
          <cell r="E481" t="str">
            <v>รายวัน</v>
          </cell>
          <cell r="F481" t="str">
            <v>Sub Contract</v>
          </cell>
          <cell r="G481" t="str">
            <v>พนักงานทั่วไป</v>
          </cell>
        </row>
        <row r="482">
          <cell r="B482" t="str">
            <v>6501017G</v>
          </cell>
          <cell r="C482" t="str">
            <v>นายรณชัย  น้อยคำภา</v>
          </cell>
          <cell r="D482" t="str">
            <v>FMG-A</v>
          </cell>
          <cell r="E482" t="str">
            <v>รายวัน</v>
          </cell>
          <cell r="F482" t="str">
            <v>Sub Contract</v>
          </cell>
          <cell r="G482" t="str">
            <v>พนักงานทั่วไป</v>
          </cell>
        </row>
        <row r="483">
          <cell r="B483" t="str">
            <v>6501018G</v>
          </cell>
          <cell r="C483" t="str">
            <v>นายวีระชัย  โคณบาล</v>
          </cell>
          <cell r="D483" t="str">
            <v>FMG-A</v>
          </cell>
          <cell r="E483" t="str">
            <v>รายวัน</v>
          </cell>
          <cell r="F483" t="str">
            <v>Sub Contract</v>
          </cell>
          <cell r="G483" t="str">
            <v>พนักงานทั่วไป</v>
          </cell>
        </row>
        <row r="484">
          <cell r="B484" t="str">
            <v>6501019G</v>
          </cell>
          <cell r="C484" t="str">
            <v>นายภาคภูมิ  โง่นสูงเนิน</v>
          </cell>
          <cell r="D484" t="str">
            <v>FMG-A</v>
          </cell>
          <cell r="E484" t="str">
            <v>รายวัน</v>
          </cell>
          <cell r="F484" t="str">
            <v>Sub Contract</v>
          </cell>
          <cell r="G484" t="str">
            <v>พนักงานทั่วไป</v>
          </cell>
        </row>
        <row r="485">
          <cell r="B485" t="str">
            <v>6501020G</v>
          </cell>
          <cell r="C485" t="str">
            <v>นายนวภินันท์  โฮงคำแก้ว</v>
          </cell>
          <cell r="D485" t="str">
            <v>FMG-A</v>
          </cell>
          <cell r="E485" t="str">
            <v>รายวัน</v>
          </cell>
          <cell r="F485" t="str">
            <v>Sub Contract</v>
          </cell>
          <cell r="G485" t="str">
            <v>พนักงานทั่วไป</v>
          </cell>
        </row>
        <row r="486">
          <cell r="B486" t="str">
            <v>6501021G</v>
          </cell>
          <cell r="C486" t="str">
            <v>นายธวัชชัย  แดงอิ่ม</v>
          </cell>
          <cell r="D486" t="str">
            <v>FMG-A</v>
          </cell>
          <cell r="E486" t="str">
            <v>รายวัน</v>
          </cell>
          <cell r="F486" t="str">
            <v>Sub Contract</v>
          </cell>
          <cell r="G486" t="str">
            <v>พนักงานทั่วไป</v>
          </cell>
        </row>
        <row r="487">
          <cell r="B487">
            <v>6501022</v>
          </cell>
          <cell r="C487" t="str">
            <v>นางสาววรรณิศา  กามุทโสภา</v>
          </cell>
          <cell r="D487" t="str">
            <v>PD</v>
          </cell>
          <cell r="E487" t="str">
            <v>รายเดือน</v>
          </cell>
          <cell r="F487" t="str">
            <v>CAR</v>
          </cell>
          <cell r="G487" t="str">
            <v>พนักงานธุรการ</v>
          </cell>
        </row>
        <row r="488">
          <cell r="B488" t="str">
            <v>6501023G</v>
          </cell>
          <cell r="C488" t="str">
            <v>นายบุญยัง  จันทร์เติมต่อ</v>
          </cell>
          <cell r="D488" t="str">
            <v>FMG-A</v>
          </cell>
          <cell r="E488" t="str">
            <v>รายวัน</v>
          </cell>
          <cell r="F488" t="str">
            <v>Sub Contract</v>
          </cell>
          <cell r="G488" t="str">
            <v>พนักงานทั่วไป</v>
          </cell>
        </row>
        <row r="489">
          <cell r="B489" t="str">
            <v>6501024G</v>
          </cell>
          <cell r="C489" t="str">
            <v>นายวิษณุ  โพธิ์พุ่ม</v>
          </cell>
          <cell r="D489" t="str">
            <v>EXT</v>
          </cell>
          <cell r="E489" t="str">
            <v>รายวัน</v>
          </cell>
          <cell r="F489" t="str">
            <v>Sub Contract</v>
          </cell>
          <cell r="G489" t="str">
            <v>พนักงานทั่วไป</v>
          </cell>
        </row>
        <row r="490">
          <cell r="B490" t="str">
            <v>6501025G</v>
          </cell>
          <cell r="C490" t="str">
            <v>นางสาวจันทนิภา  ศรศรี</v>
          </cell>
          <cell r="D490" t="str">
            <v>STO</v>
          </cell>
          <cell r="E490" t="str">
            <v>รายวัน</v>
          </cell>
          <cell r="F490" t="str">
            <v>Sub Contract</v>
          </cell>
          <cell r="G490" t="str">
            <v>พนักงานทั่วไป</v>
          </cell>
        </row>
        <row r="491">
          <cell r="B491">
            <v>6501026</v>
          </cell>
          <cell r="C491" t="str">
            <v>นางสาวอัมรา  เขียวหนู</v>
          </cell>
          <cell r="D491" t="str">
            <v>PD</v>
          </cell>
          <cell r="E491" t="str">
            <v>รายเดือน</v>
          </cell>
          <cell r="F491" t="str">
            <v>CAR</v>
          </cell>
          <cell r="G491" t="str">
            <v>พนักงานธุรการ</v>
          </cell>
        </row>
        <row r="492">
          <cell r="B492" t="str">
            <v>6501027</v>
          </cell>
          <cell r="C492" t="str">
            <v>นางสาวกนกพร  ชูคำ</v>
          </cell>
          <cell r="D492" t="str">
            <v>PD</v>
          </cell>
          <cell r="E492" t="str">
            <v>รายเดือน</v>
          </cell>
          <cell r="F492" t="str">
            <v>CAR</v>
          </cell>
          <cell r="G492" t="str">
            <v>พนักงานธุรการ</v>
          </cell>
        </row>
        <row r="493">
          <cell r="B493" t="str">
            <v>6501029G</v>
          </cell>
          <cell r="C493" t="str">
            <v>นายอาทิตย์  ทองเกตุ</v>
          </cell>
          <cell r="D493" t="str">
            <v>FMG-B</v>
          </cell>
          <cell r="E493" t="str">
            <v>รายวัน</v>
          </cell>
          <cell r="F493" t="str">
            <v>Sub Contract</v>
          </cell>
          <cell r="G493" t="str">
            <v>พนักงานทั่วไป</v>
          </cell>
        </row>
        <row r="494">
          <cell r="B494" t="str">
            <v>6501030T</v>
          </cell>
          <cell r="C494" t="str">
            <v>นางสาวเจนวดี  ฟุ้งสุข</v>
          </cell>
          <cell r="D494" t="str">
            <v>DELIV</v>
          </cell>
          <cell r="E494" t="str">
            <v>รายวัน</v>
          </cell>
          <cell r="F494" t="str">
            <v>Sub Contract</v>
          </cell>
          <cell r="G494" t="str">
            <v>พนักงานทั่วไป</v>
          </cell>
        </row>
        <row r="495">
          <cell r="B495">
            <v>6501031</v>
          </cell>
          <cell r="C495" t="str">
            <v>นางสาวฑิตยา  โนนอินทร์</v>
          </cell>
          <cell r="D495" t="str">
            <v>QA/QC</v>
          </cell>
          <cell r="E495" t="str">
            <v>รายเดือน</v>
          </cell>
          <cell r="F495" t="str">
            <v>CAR</v>
          </cell>
          <cell r="G495" t="str">
            <v>QC Line</v>
          </cell>
        </row>
        <row r="496">
          <cell r="B496" t="str">
            <v>6501032T</v>
          </cell>
          <cell r="C496" t="str">
            <v>นางสาวปอรรัตน์  บุญกอด</v>
          </cell>
          <cell r="D496" t="str">
            <v>STO</v>
          </cell>
          <cell r="E496" t="str">
            <v>รายวัน</v>
          </cell>
          <cell r="F496" t="str">
            <v>Sub Contract</v>
          </cell>
          <cell r="G496" t="str">
            <v>พนักงานทั่วไป</v>
          </cell>
        </row>
        <row r="497">
          <cell r="B497" t="str">
            <v>6501033G</v>
          </cell>
          <cell r="C497" t="str">
            <v>นายเอกลักษณ์  สุทิม</v>
          </cell>
          <cell r="D497" t="str">
            <v>FMG-B</v>
          </cell>
          <cell r="E497" t="str">
            <v>รายวัน</v>
          </cell>
          <cell r="F497" t="str">
            <v>Sub Contract</v>
          </cell>
          <cell r="G497" t="str">
            <v>พนักงานทั่วไป</v>
          </cell>
        </row>
        <row r="498">
          <cell r="B498">
            <v>6501034</v>
          </cell>
          <cell r="C498" t="str">
            <v>นางสาวปภาวดี ราชจินดา</v>
          </cell>
          <cell r="D498" t="str">
            <v>MK</v>
          </cell>
          <cell r="E498" t="str">
            <v>รายวัน</v>
          </cell>
          <cell r="F498" t="str">
            <v>CAR</v>
          </cell>
          <cell r="G498" t="str">
            <v>เจ้าหน้าที่</v>
          </cell>
        </row>
        <row r="499">
          <cell r="B499">
            <v>6501035</v>
          </cell>
          <cell r="C499" t="str">
            <v>นางสาวเบญจมาศ  ช่างฉลาด</v>
          </cell>
          <cell r="D499" t="str">
            <v>QA/QC</v>
          </cell>
          <cell r="E499" t="str">
            <v>รายเดือน</v>
          </cell>
          <cell r="F499" t="str">
            <v>CAR</v>
          </cell>
          <cell r="G499" t="str">
            <v>QC Line</v>
          </cell>
        </row>
        <row r="500">
          <cell r="B500" t="str">
            <v>6501036G</v>
          </cell>
          <cell r="C500" t="str">
            <v>นายสุรสิทธิ์  เกษรหอม</v>
          </cell>
          <cell r="D500" t="str">
            <v>FMG-B</v>
          </cell>
          <cell r="E500" t="str">
            <v>รายวัน</v>
          </cell>
          <cell r="F500" t="str">
            <v>Sub Contract</v>
          </cell>
          <cell r="G500" t="str">
            <v>พนักงานทั่วไป</v>
          </cell>
        </row>
        <row r="501">
          <cell r="B501">
            <v>6501037</v>
          </cell>
          <cell r="C501" t="str">
            <v>นางสาวสุปาณี  แซ่หรือ</v>
          </cell>
          <cell r="D501" t="str">
            <v>QA/QC</v>
          </cell>
          <cell r="E501" t="str">
            <v>รายเดือน</v>
          </cell>
          <cell r="F501" t="str">
            <v>CAR</v>
          </cell>
          <cell r="G501" t="str">
            <v>พนักงานธุรการ</v>
          </cell>
        </row>
        <row r="502">
          <cell r="B502" t="str">
            <v>6501038G</v>
          </cell>
          <cell r="C502" t="str">
            <v>นางสาวสุภาภรณ์  จิตรมั่น</v>
          </cell>
          <cell r="D502" t="str">
            <v>EN</v>
          </cell>
          <cell r="E502" t="str">
            <v>รายวัน</v>
          </cell>
          <cell r="F502" t="str">
            <v>Sub Contract</v>
          </cell>
          <cell r="G502" t="str">
            <v>พนักงานทั่วไป</v>
          </cell>
        </row>
        <row r="503">
          <cell r="B503" t="str">
            <v>6501039G</v>
          </cell>
          <cell r="C503" t="str">
            <v>นายอนันทา  ภาภิรมย์</v>
          </cell>
          <cell r="D503" t="str">
            <v>FMG-A</v>
          </cell>
          <cell r="E503" t="str">
            <v>รายวัน</v>
          </cell>
          <cell r="F503" t="str">
            <v>Sub Contract</v>
          </cell>
          <cell r="G503" t="str">
            <v>พนักงานทั่วไป</v>
          </cell>
        </row>
        <row r="504">
          <cell r="B504" t="str">
            <v>6504040G</v>
          </cell>
          <cell r="C504" t="str">
            <v>นายสุราเชษฐ์  พุ่มบัว</v>
          </cell>
          <cell r="D504" t="str">
            <v>FMG-A</v>
          </cell>
          <cell r="E504" t="str">
            <v>รายวัน</v>
          </cell>
          <cell r="F504" t="str">
            <v>Sub Contract</v>
          </cell>
          <cell r="G504" t="str">
            <v>พนักงานทั่วไป</v>
          </cell>
        </row>
        <row r="505">
          <cell r="B505" t="str">
            <v>6502001G</v>
          </cell>
          <cell r="C505" t="str">
            <v>นางสาวสุกัญญา  ภูถูกเงิน</v>
          </cell>
          <cell r="D505" t="str">
            <v>STO</v>
          </cell>
          <cell r="E505" t="str">
            <v>รายวัน</v>
          </cell>
          <cell r="F505" t="str">
            <v>Sub Contract</v>
          </cell>
          <cell r="G505" t="str">
            <v>พนักงานทั่วไป</v>
          </cell>
        </row>
        <row r="506">
          <cell r="B506" t="str">
            <v>6502002G</v>
          </cell>
          <cell r="C506" t="str">
            <v>นายภัทธพล  นาโสก</v>
          </cell>
          <cell r="D506" t="str">
            <v>FMG-A</v>
          </cell>
          <cell r="E506" t="str">
            <v>รายวัน</v>
          </cell>
          <cell r="F506" t="str">
            <v>Sub Contract</v>
          </cell>
          <cell r="G506" t="str">
            <v>พนักงานทั่วไป</v>
          </cell>
        </row>
        <row r="507">
          <cell r="B507" t="str">
            <v>6502003G</v>
          </cell>
          <cell r="C507" t="str">
            <v>นายสุริยา  ทำประเสริฐ</v>
          </cell>
          <cell r="D507" t="str">
            <v>FMG-A</v>
          </cell>
          <cell r="E507" t="str">
            <v>รายวัน</v>
          </cell>
          <cell r="F507" t="str">
            <v>Sub Contract</v>
          </cell>
          <cell r="G507" t="str">
            <v>พนักงานทั่วไป</v>
          </cell>
        </row>
        <row r="508">
          <cell r="B508" t="str">
            <v>6502004</v>
          </cell>
          <cell r="C508" t="str">
            <v>นายภาณุพงศ์   กิ่งบรรเทา</v>
          </cell>
          <cell r="D508" t="str">
            <v>MT</v>
          </cell>
          <cell r="E508" t="str">
            <v>รายเดือน</v>
          </cell>
          <cell r="F508" t="str">
            <v>CAR</v>
          </cell>
          <cell r="G508" t="str">
            <v>พนักงานธุรการ</v>
          </cell>
        </row>
        <row r="509">
          <cell r="B509" t="str">
            <v>6502006T</v>
          </cell>
          <cell r="C509" t="str">
            <v>นายกรณ์วิภัช   แก้วดวงดี</v>
          </cell>
          <cell r="D509" t="str">
            <v>FMG-A</v>
          </cell>
          <cell r="E509" t="str">
            <v>รายวัน</v>
          </cell>
          <cell r="F509" t="str">
            <v>Sub Contract</v>
          </cell>
          <cell r="G509" t="str">
            <v>พนักงานทั่วไป</v>
          </cell>
        </row>
        <row r="510">
          <cell r="B510" t="str">
            <v>6502007T</v>
          </cell>
          <cell r="C510" t="str">
            <v>นายอำนวย   บุญชู</v>
          </cell>
          <cell r="D510" t="str">
            <v>FMG-A</v>
          </cell>
          <cell r="E510" t="str">
            <v>รายวัน</v>
          </cell>
          <cell r="F510" t="str">
            <v>Sub Contract</v>
          </cell>
          <cell r="G510" t="str">
            <v>พนักงานทั่วไป</v>
          </cell>
        </row>
        <row r="511">
          <cell r="B511" t="str">
            <v>6502008T</v>
          </cell>
          <cell r="C511" t="str">
            <v>นายประจักษ์   ลาภูตะมะ</v>
          </cell>
          <cell r="D511" t="str">
            <v>FMG-A</v>
          </cell>
          <cell r="E511" t="str">
            <v>รายวัน</v>
          </cell>
          <cell r="F511" t="str">
            <v>Sub Contract</v>
          </cell>
          <cell r="G511" t="str">
            <v>พนักงานทั่วไป</v>
          </cell>
        </row>
        <row r="512">
          <cell r="B512" t="str">
            <v>6502009G</v>
          </cell>
          <cell r="C512" t="str">
            <v>นายศดิศ   ผาคำ</v>
          </cell>
          <cell r="D512" t="str">
            <v>FMG-A</v>
          </cell>
          <cell r="E512" t="str">
            <v>รายวัน</v>
          </cell>
          <cell r="F512" t="str">
            <v>Sub Contract</v>
          </cell>
          <cell r="G512" t="str">
            <v>พนักงานทั่วไป</v>
          </cell>
        </row>
        <row r="513">
          <cell r="B513" t="str">
            <v>6502010G</v>
          </cell>
          <cell r="C513" t="str">
            <v>นางสาววธูสิริ   ซองเหล็กนอก</v>
          </cell>
          <cell r="D513" t="str">
            <v>STO</v>
          </cell>
          <cell r="E513" t="str">
            <v>รายวัน</v>
          </cell>
          <cell r="F513" t="str">
            <v>Sub Contract</v>
          </cell>
          <cell r="G513" t="str">
            <v>พนักงานทั่วไป</v>
          </cell>
        </row>
        <row r="514">
          <cell r="B514" t="str">
            <v>6502011G</v>
          </cell>
          <cell r="C514" t="str">
            <v>นายฉัตรชัย   มิ่งทองโต</v>
          </cell>
          <cell r="D514" t="str">
            <v>EXT</v>
          </cell>
          <cell r="E514" t="str">
            <v>รายวัน</v>
          </cell>
          <cell r="F514" t="str">
            <v>Sub Contract</v>
          </cell>
          <cell r="G514" t="str">
            <v>พนักงานทั่วไป</v>
          </cell>
        </row>
        <row r="515">
          <cell r="B515" t="str">
            <v>6502012G</v>
          </cell>
          <cell r="C515" t="str">
            <v>นายสุทธี   เข้าเมือง</v>
          </cell>
          <cell r="D515" t="str">
            <v>FMG-A</v>
          </cell>
          <cell r="E515" t="str">
            <v>รายวัน</v>
          </cell>
          <cell r="F515" t="str">
            <v>Sub Contract</v>
          </cell>
          <cell r="G515" t="str">
            <v>พนักงานทั่วไป</v>
          </cell>
        </row>
        <row r="516">
          <cell r="B516" t="str">
            <v>6502013G</v>
          </cell>
          <cell r="C516" t="str">
            <v>นายวันชนะ จันทวงค์</v>
          </cell>
          <cell r="D516" t="str">
            <v>FMG-A</v>
          </cell>
          <cell r="E516" t="str">
            <v>รายวัน</v>
          </cell>
          <cell r="F516" t="str">
            <v>Sub Contract</v>
          </cell>
          <cell r="G516" t="str">
            <v>พนักงานทั่วไป</v>
          </cell>
        </row>
        <row r="517">
          <cell r="B517" t="str">
            <v>6502014G</v>
          </cell>
          <cell r="C517" t="str">
            <v>นายอุทัย วรรณสิงห์</v>
          </cell>
          <cell r="D517" t="str">
            <v>FMG-B</v>
          </cell>
          <cell r="E517" t="str">
            <v>รายวัน</v>
          </cell>
          <cell r="F517" t="str">
            <v>Sub Contract</v>
          </cell>
          <cell r="G517" t="str">
            <v>พนักงานทั่วไป</v>
          </cell>
        </row>
        <row r="518">
          <cell r="B518">
            <v>6502015</v>
          </cell>
          <cell r="C518" t="str">
            <v>นางสาววิลาภา  นนท์นอก</v>
          </cell>
          <cell r="D518" t="str">
            <v>PD</v>
          </cell>
          <cell r="E518" t="str">
            <v>รายเดือน</v>
          </cell>
          <cell r="F518" t="str">
            <v>CAR</v>
          </cell>
          <cell r="G518" t="str">
            <v>พนักงานธุรการ</v>
          </cell>
        </row>
        <row r="519">
          <cell r="B519" t="str">
            <v>6502016G</v>
          </cell>
          <cell r="C519" t="str">
            <v>นายทวีศักดิ์  สายคำ</v>
          </cell>
          <cell r="D519" t="str">
            <v>FMG-A</v>
          </cell>
          <cell r="E519" t="str">
            <v>รายวัน</v>
          </cell>
          <cell r="F519" t="str">
            <v>Sub Contract</v>
          </cell>
          <cell r="G519" t="str">
            <v>พนักงานทั่วไป</v>
          </cell>
        </row>
        <row r="520">
          <cell r="B520" t="str">
            <v>6502017G</v>
          </cell>
          <cell r="C520" t="str">
            <v>นางสาวอุษา  เพียรกสิกิจ</v>
          </cell>
          <cell r="D520" t="str">
            <v>STO</v>
          </cell>
          <cell r="E520" t="str">
            <v>รายวัน</v>
          </cell>
          <cell r="F520" t="str">
            <v>Sub Contract</v>
          </cell>
          <cell r="G520" t="str">
            <v>พนักงานทั่วไป</v>
          </cell>
        </row>
        <row r="521">
          <cell r="B521" t="str">
            <v>6502018G</v>
          </cell>
          <cell r="C521" t="str">
            <v>นายพลวัฒน์  แก้วพิภพ</v>
          </cell>
          <cell r="D521" t="str">
            <v>FMG-B</v>
          </cell>
          <cell r="E521" t="str">
            <v>รายวัน</v>
          </cell>
          <cell r="F521" t="str">
            <v>Sub Contract</v>
          </cell>
          <cell r="G521" t="str">
            <v>พนักงานทั่วไป</v>
          </cell>
        </row>
        <row r="522">
          <cell r="B522">
            <v>6502019</v>
          </cell>
          <cell r="C522" t="str">
            <v>นายวิริยะ  พงษ์สุทธิรักษ์</v>
          </cell>
          <cell r="D522" t="str">
            <v>HR&amp;GA/ IT</v>
          </cell>
          <cell r="E522" t="str">
            <v>รายเดือน</v>
          </cell>
          <cell r="F522" t="str">
            <v>CAR</v>
          </cell>
          <cell r="G522" t="str">
            <v>เจ้าหน้าที่</v>
          </cell>
        </row>
        <row r="523">
          <cell r="B523" t="str">
            <v>6502020G</v>
          </cell>
          <cell r="C523" t="str">
            <v>นายพงศธร เพ็ชรจันทร์</v>
          </cell>
          <cell r="D523" t="str">
            <v>FMG-B</v>
          </cell>
          <cell r="E523" t="str">
            <v>รายวัน</v>
          </cell>
          <cell r="F523" t="str">
            <v>Sub Contract</v>
          </cell>
          <cell r="G523" t="str">
            <v>พนักงานทั่วไป</v>
          </cell>
        </row>
        <row r="524">
          <cell r="B524" t="str">
            <v>6502021G</v>
          </cell>
          <cell r="C524" t="str">
            <v>นายกนกพล คำรอด</v>
          </cell>
          <cell r="D524" t="str">
            <v>FMG-B</v>
          </cell>
          <cell r="E524" t="str">
            <v>รายวัน</v>
          </cell>
          <cell r="F524" t="str">
            <v>Sub Contract</v>
          </cell>
          <cell r="G524" t="str">
            <v>พนักงานทั่วไป</v>
          </cell>
        </row>
        <row r="525">
          <cell r="B525">
            <v>6502022</v>
          </cell>
          <cell r="C525" t="str">
            <v>นายดนัย ทับสุวรรณ์</v>
          </cell>
          <cell r="D525" t="str">
            <v>MT</v>
          </cell>
          <cell r="E525" t="str">
            <v>รายเดือน</v>
          </cell>
          <cell r="F525" t="str">
            <v>CAR</v>
          </cell>
          <cell r="G525" t="str">
            <v>ผู้ช่วยผู้จัดการแผนก</v>
          </cell>
        </row>
        <row r="526">
          <cell r="B526">
            <v>6502023</v>
          </cell>
          <cell r="C526" t="str">
            <v>นายยงยุทธ กวีภัทรมงคล</v>
          </cell>
          <cell r="D526" t="str">
            <v>MT</v>
          </cell>
          <cell r="E526" t="str">
            <v>รายเดือน</v>
          </cell>
          <cell r="F526" t="str">
            <v>CAR</v>
          </cell>
          <cell r="G526" t="str">
            <v>ช่างเทคนิค</v>
          </cell>
        </row>
        <row r="527">
          <cell r="B527" t="str">
            <v>6502024</v>
          </cell>
          <cell r="C527" t="str">
            <v>นางสาวเบญจมาภา น้อยสุวรรณ</v>
          </cell>
          <cell r="D527" t="str">
            <v>HR&amp;GA/ IT</v>
          </cell>
          <cell r="E527" t="str">
            <v>รายเดือน</v>
          </cell>
          <cell r="F527" t="str">
            <v>CAR</v>
          </cell>
          <cell r="G527" t="str">
            <v>เจ้าหน้าที่</v>
          </cell>
        </row>
        <row r="528">
          <cell r="B528">
            <v>6502025</v>
          </cell>
          <cell r="C528" t="str">
            <v>นางสาวกมุทพร มากูล</v>
          </cell>
          <cell r="D528" t="str">
            <v>PD</v>
          </cell>
          <cell r="E528" t="str">
            <v>รายเดือน</v>
          </cell>
          <cell r="F528" t="str">
            <v>CAR</v>
          </cell>
          <cell r="G528" t="str">
            <v>พนักงานธุรการ</v>
          </cell>
        </row>
        <row r="529">
          <cell r="B529" t="str">
            <v>6502026G</v>
          </cell>
          <cell r="C529" t="str">
            <v>นางสาวศศิพรรณ ชนะสะแบง</v>
          </cell>
          <cell r="D529" t="str">
            <v>STO</v>
          </cell>
          <cell r="E529" t="str">
            <v>รายวัน</v>
          </cell>
          <cell r="F529" t="str">
            <v>Sub Contract</v>
          </cell>
          <cell r="G529" t="str">
            <v>พนักงานทั่วไป</v>
          </cell>
        </row>
        <row r="530">
          <cell r="B530">
            <v>6502027</v>
          </cell>
          <cell r="C530" t="str">
            <v>นายภราดา มาศวรรณา</v>
          </cell>
          <cell r="D530" t="str">
            <v>FMG-B</v>
          </cell>
          <cell r="E530" t="str">
            <v>รายเดือน</v>
          </cell>
          <cell r="F530" t="str">
            <v>CAR</v>
          </cell>
          <cell r="G530" t="str">
            <v>set up mold</v>
          </cell>
        </row>
        <row r="531">
          <cell r="B531" t="str">
            <v>6502028G</v>
          </cell>
          <cell r="C531" t="str">
            <v>นายไชย ค้ากระโทก</v>
          </cell>
          <cell r="D531" t="str">
            <v>FMG-B</v>
          </cell>
          <cell r="E531" t="str">
            <v>รายวัน</v>
          </cell>
          <cell r="F531" t="str">
            <v>Sub Contract</v>
          </cell>
          <cell r="G531" t="str">
            <v>พนักงานทั่วไป</v>
          </cell>
        </row>
        <row r="532">
          <cell r="B532" t="str">
            <v>6502029G</v>
          </cell>
          <cell r="C532" t="str">
            <v>นางสาวอัญชลี ทราธร</v>
          </cell>
          <cell r="D532" t="str">
            <v>EN</v>
          </cell>
          <cell r="E532" t="str">
            <v>รายวัน</v>
          </cell>
          <cell r="F532" t="str">
            <v>Sub Contract</v>
          </cell>
          <cell r="G532" t="str">
            <v>พนักงานทั่วไป</v>
          </cell>
        </row>
        <row r="533">
          <cell r="B533" t="str">
            <v>6502030G</v>
          </cell>
          <cell r="C533" t="str">
            <v>นางสาวกัญญานุช เม็ดดี</v>
          </cell>
          <cell r="D533" t="str">
            <v>EN</v>
          </cell>
          <cell r="E533" t="str">
            <v>รายวัน</v>
          </cell>
          <cell r="F533" t="str">
            <v>Sub Contract</v>
          </cell>
          <cell r="G533" t="str">
            <v>พนักงานทั่วไป</v>
          </cell>
        </row>
        <row r="534">
          <cell r="B534" t="str">
            <v>6502031G</v>
          </cell>
          <cell r="C534" t="str">
            <v>นางสาววีระยา  มีสุข</v>
          </cell>
          <cell r="D534" t="str">
            <v>STO</v>
          </cell>
          <cell r="E534" t="str">
            <v>รายวัน</v>
          </cell>
          <cell r="F534" t="str">
            <v>Sub Contract</v>
          </cell>
          <cell r="G534" t="str">
            <v>พนักงานทั่วไป</v>
          </cell>
        </row>
        <row r="535">
          <cell r="B535" t="str">
            <v>6502032G</v>
          </cell>
          <cell r="C535" t="str">
            <v>นายพงศกร  นวลตา</v>
          </cell>
          <cell r="D535" t="str">
            <v>FMG-B</v>
          </cell>
          <cell r="E535" t="str">
            <v>รายวัน</v>
          </cell>
          <cell r="F535" t="str">
            <v>Sub Contract</v>
          </cell>
          <cell r="G535" t="str">
            <v>พนักงานทั่วไป</v>
          </cell>
        </row>
        <row r="536">
          <cell r="B536" t="str">
            <v>6502033G</v>
          </cell>
          <cell r="C536" t="str">
            <v>นางสาวมธุรส  ตะยะราช</v>
          </cell>
          <cell r="D536" t="str">
            <v>STO</v>
          </cell>
          <cell r="E536" t="str">
            <v>รายวัน</v>
          </cell>
          <cell r="F536" t="str">
            <v>Sub Contract</v>
          </cell>
          <cell r="G536" t="str">
            <v>พนักงานทั่วไป</v>
          </cell>
        </row>
        <row r="537">
          <cell r="B537">
            <v>6503001</v>
          </cell>
          <cell r="C537" t="str">
            <v>นางสาวสุนีย์  ทองจีน</v>
          </cell>
          <cell r="D537" t="str">
            <v>PC</v>
          </cell>
          <cell r="E537" t="str">
            <v>รายเดือน</v>
          </cell>
          <cell r="F537" t="str">
            <v>CAR</v>
          </cell>
          <cell r="G537" t="str">
            <v>เจ้าหน้าที่</v>
          </cell>
        </row>
        <row r="538">
          <cell r="B538">
            <v>6503002</v>
          </cell>
          <cell r="C538" t="str">
            <v>นางสาวนรินทร์ ดำดี</v>
          </cell>
          <cell r="D538" t="str">
            <v>FIN&amp;ACC</v>
          </cell>
          <cell r="E538" t="str">
            <v>รายเดือน</v>
          </cell>
          <cell r="F538" t="str">
            <v>CAR</v>
          </cell>
          <cell r="G538" t="str">
            <v>เจ้าหน้าที่</v>
          </cell>
        </row>
        <row r="539">
          <cell r="B539" t="str">
            <v>6503003T</v>
          </cell>
          <cell r="C539" t="str">
            <v>นายไพรัช น้อยมหาพรม</v>
          </cell>
          <cell r="D539" t="str">
            <v>STO</v>
          </cell>
          <cell r="E539" t="str">
            <v>รายวัน</v>
          </cell>
          <cell r="F539" t="str">
            <v>Sub Contract</v>
          </cell>
          <cell r="G539" t="str">
            <v>พนักงานทั่วไป</v>
          </cell>
        </row>
        <row r="540">
          <cell r="B540" t="str">
            <v>6503004T</v>
          </cell>
          <cell r="C540" t="str">
            <v>นายเกียรติพงศ์ การบรรจง</v>
          </cell>
          <cell r="D540" t="str">
            <v>CUT</v>
          </cell>
          <cell r="E540" t="str">
            <v>รายวัน</v>
          </cell>
          <cell r="F540" t="str">
            <v>Sub Contract</v>
          </cell>
          <cell r="G540" t="str">
            <v>พนักงานทั่วไป</v>
          </cell>
        </row>
        <row r="541">
          <cell r="B541" t="str">
            <v>6503005T</v>
          </cell>
          <cell r="C541" t="str">
            <v>นางสาวอุมาพร คงฤทธิ์</v>
          </cell>
          <cell r="D541" t="str">
            <v>FNG-1</v>
          </cell>
          <cell r="E541" t="str">
            <v>รายวัน</v>
          </cell>
          <cell r="F541" t="str">
            <v>Sub Contract</v>
          </cell>
          <cell r="G541" t="str">
            <v>พนักงานทั่วไป</v>
          </cell>
        </row>
        <row r="542">
          <cell r="B542">
            <v>6503006</v>
          </cell>
          <cell r="C542" t="str">
            <v>นายกิตติพัฒ ราญรอน</v>
          </cell>
          <cell r="D542" t="str">
            <v>MK</v>
          </cell>
          <cell r="E542" t="str">
            <v>รายเดือน</v>
          </cell>
          <cell r="F542" t="str">
            <v>CAR</v>
          </cell>
          <cell r="G542" t="str">
            <v>หัวหน้าแผนก</v>
          </cell>
        </row>
        <row r="543">
          <cell r="B543" t="str">
            <v>6503007T</v>
          </cell>
          <cell r="C543" t="str">
            <v>นายมหาเทพ สุวรรณ์</v>
          </cell>
          <cell r="D543" t="str">
            <v>FMG-A</v>
          </cell>
          <cell r="E543" t="str">
            <v>รายวัน</v>
          </cell>
          <cell r="F543" t="str">
            <v>Sub Contract</v>
          </cell>
          <cell r="G543" t="str">
            <v>พนักงานทั่วไป</v>
          </cell>
        </row>
        <row r="544">
          <cell r="B544" t="str">
            <v>6503008T</v>
          </cell>
          <cell r="C544" t="str">
            <v>นายอภิสิทธิ์ สุขนันท์</v>
          </cell>
          <cell r="D544" t="str">
            <v>FMG-A</v>
          </cell>
          <cell r="E544" t="str">
            <v>รายวัน</v>
          </cell>
          <cell r="F544" t="str">
            <v>Sub Contract</v>
          </cell>
          <cell r="G544" t="str">
            <v>พนักงานทั่วไป</v>
          </cell>
        </row>
        <row r="545">
          <cell r="B545" t="str">
            <v>6503009T</v>
          </cell>
          <cell r="C545" t="str">
            <v>นางสาวศิริมล นาพังคะบุตร</v>
          </cell>
          <cell r="D545" t="str">
            <v>STO</v>
          </cell>
          <cell r="E545" t="str">
            <v>รายวัน</v>
          </cell>
          <cell r="F545" t="str">
            <v>Sub Contract</v>
          </cell>
          <cell r="G545" t="str">
            <v>พนักงานทั่วไป</v>
          </cell>
        </row>
        <row r="546">
          <cell r="B546" t="str">
            <v>6503010G</v>
          </cell>
          <cell r="C546" t="str">
            <v>นายมังกรทอง สีดาเพีย</v>
          </cell>
          <cell r="D546" t="str">
            <v>EXT</v>
          </cell>
          <cell r="E546" t="str">
            <v>รายวัน</v>
          </cell>
          <cell r="F546" t="str">
            <v>Sub Contract</v>
          </cell>
          <cell r="G546" t="str">
            <v>พนักงานทั่วไป</v>
          </cell>
        </row>
        <row r="547">
          <cell r="B547" t="str">
            <v>6503011G</v>
          </cell>
          <cell r="C547" t="str">
            <v>นางสาวปริญญา สุดตาชาติ</v>
          </cell>
          <cell r="D547" t="str">
            <v>FNG-1</v>
          </cell>
          <cell r="E547" t="str">
            <v>รายวัน</v>
          </cell>
          <cell r="F547" t="str">
            <v>Sub Contract</v>
          </cell>
          <cell r="G547" t="str">
            <v>พนักงานทั่วไป</v>
          </cell>
        </row>
        <row r="548">
          <cell r="B548">
            <v>6503012</v>
          </cell>
          <cell r="C548" t="str">
            <v>นายอาจหาญ กันนุลา</v>
          </cell>
          <cell r="D548" t="str">
            <v>MGT</v>
          </cell>
          <cell r="E548" t="str">
            <v>รายเดือน</v>
          </cell>
          <cell r="F548" t="str">
            <v>CAR</v>
          </cell>
          <cell r="G548" t="str">
            <v>ผู้จัดการทั่วไปอาวุโส</v>
          </cell>
        </row>
        <row r="549">
          <cell r="B549">
            <v>6503013</v>
          </cell>
          <cell r="C549" t="str">
            <v>นายรัชพงษ์ อารยางกูร</v>
          </cell>
          <cell r="D549" t="str">
            <v>MT</v>
          </cell>
          <cell r="E549" t="str">
            <v>รายเดือน</v>
          </cell>
          <cell r="F549" t="str">
            <v>CAR</v>
          </cell>
          <cell r="G549" t="str">
            <v>ช่างเทคนิค</v>
          </cell>
        </row>
        <row r="550">
          <cell r="B550" t="str">
            <v>6503014G</v>
          </cell>
          <cell r="C550" t="str">
            <v>นายนฤปนาท แจ่มวงษ์อินทร์</v>
          </cell>
          <cell r="D550" t="str">
            <v>FMG-A</v>
          </cell>
          <cell r="E550" t="str">
            <v>รายวัน</v>
          </cell>
          <cell r="F550" t="str">
            <v>Sub Contract</v>
          </cell>
          <cell r="G550" t="str">
            <v>พนักงานทั่วไป</v>
          </cell>
        </row>
        <row r="551">
          <cell r="B551" t="str">
            <v>6503015G</v>
          </cell>
          <cell r="C551" t="str">
            <v>นางสาวโสภา ดอนกระโทก</v>
          </cell>
          <cell r="D551" t="str">
            <v>STO</v>
          </cell>
          <cell r="E551" t="str">
            <v>รายวัน</v>
          </cell>
          <cell r="F551" t="str">
            <v>Sub Contract</v>
          </cell>
          <cell r="G551" t="str">
            <v>พนักงานทั่วไป</v>
          </cell>
        </row>
        <row r="552">
          <cell r="B552" t="str">
            <v>6503016T</v>
          </cell>
          <cell r="C552" t="str">
            <v>นางสาวศุภักษร เทศทอง</v>
          </cell>
          <cell r="D552" t="str">
            <v>FNG-1</v>
          </cell>
          <cell r="E552" t="str">
            <v>รายวัน</v>
          </cell>
          <cell r="F552" t="str">
            <v>Sub Contract</v>
          </cell>
          <cell r="G552" t="str">
            <v>พนักงานทั่วไป</v>
          </cell>
        </row>
        <row r="553">
          <cell r="B553" t="str">
            <v>6503017T</v>
          </cell>
          <cell r="C553" t="str">
            <v>นางสาวสุมิตรา เทศทอง</v>
          </cell>
          <cell r="D553" t="str">
            <v>FNG-1</v>
          </cell>
          <cell r="E553" t="str">
            <v>รายวัน</v>
          </cell>
          <cell r="F553" t="str">
            <v>Sub Contract</v>
          </cell>
          <cell r="G553" t="str">
            <v>พนักงานทั่วไป</v>
          </cell>
        </row>
        <row r="554">
          <cell r="B554" t="str">
            <v>6503018G</v>
          </cell>
          <cell r="C554" t="str">
            <v>นางสาวจิรนันท์ จันทรมนตรี</v>
          </cell>
          <cell r="D554" t="str">
            <v>STO</v>
          </cell>
          <cell r="E554" t="str">
            <v>รายวัน</v>
          </cell>
          <cell r="F554" t="str">
            <v>Sub Contract</v>
          </cell>
          <cell r="G554" t="str">
            <v>พนักงานทั่วไป</v>
          </cell>
        </row>
        <row r="555">
          <cell r="B555" t="str">
            <v>6503019G</v>
          </cell>
          <cell r="C555" t="str">
            <v>นางสาวบังอร ซื่อจริง</v>
          </cell>
          <cell r="D555" t="str">
            <v>STO</v>
          </cell>
          <cell r="E555" t="str">
            <v>รายวัน</v>
          </cell>
          <cell r="F555" t="str">
            <v>Sub Contract</v>
          </cell>
          <cell r="G555" t="str">
            <v>พนักงานทั่วไป</v>
          </cell>
        </row>
        <row r="556">
          <cell r="B556">
            <v>6503020</v>
          </cell>
          <cell r="C556" t="str">
            <v>นายรุ่งศักดิ์ สาลือชา</v>
          </cell>
          <cell r="D556" t="str">
            <v>PD</v>
          </cell>
          <cell r="E556" t="str">
            <v>รายเดือน</v>
          </cell>
          <cell r="F556" t="str">
            <v>CAR</v>
          </cell>
          <cell r="G556" t="str">
            <v>ผู้จัดการแผนก</v>
          </cell>
        </row>
        <row r="557">
          <cell r="B557">
            <v>6503021</v>
          </cell>
          <cell r="C557" t="str">
            <v>นายสุทิน วังหอม</v>
          </cell>
          <cell r="D557" t="str">
            <v>MT</v>
          </cell>
          <cell r="E557" t="str">
            <v>รายเดือน</v>
          </cell>
          <cell r="F557" t="str">
            <v>CAR</v>
          </cell>
          <cell r="G557" t="str">
            <v>ช่างเทคนิค</v>
          </cell>
        </row>
        <row r="558">
          <cell r="B558">
            <v>6503022</v>
          </cell>
          <cell r="C558" t="str">
            <v>นางสาววีนัส สุริโยชัย</v>
          </cell>
          <cell r="D558" t="str">
            <v>QA/QC</v>
          </cell>
          <cell r="E558" t="str">
            <v>รายเดือน</v>
          </cell>
          <cell r="F558" t="str">
            <v>CAR</v>
          </cell>
          <cell r="G558" t="str">
            <v>QC Line</v>
          </cell>
        </row>
        <row r="559">
          <cell r="B559">
            <v>6503023</v>
          </cell>
          <cell r="C559" t="str">
            <v>นายวสันต์ จันทร์อาภาท</v>
          </cell>
          <cell r="D559" t="str">
            <v>QA/QC</v>
          </cell>
          <cell r="E559" t="str">
            <v>รายเดือน</v>
          </cell>
          <cell r="F559" t="str">
            <v>CAR</v>
          </cell>
          <cell r="G559" t="str">
            <v>QC LAB</v>
          </cell>
        </row>
        <row r="560">
          <cell r="B560">
            <v>6503024</v>
          </cell>
          <cell r="C560" t="str">
            <v>นายนพดล หาญมนต์</v>
          </cell>
          <cell r="D560" t="str">
            <v>MGT</v>
          </cell>
          <cell r="E560" t="str">
            <v>รายเดือน</v>
          </cell>
          <cell r="F560" t="str">
            <v>CAR</v>
          </cell>
          <cell r="G560" t="str">
            <v>ผู้จัดการทั่วไป</v>
          </cell>
        </row>
        <row r="561">
          <cell r="B561" t="str">
            <v>6503025G</v>
          </cell>
          <cell r="C561" t="str">
            <v>นางสาวพรทิพย์ ปานดงนอก</v>
          </cell>
          <cell r="D561" t="str">
            <v>STO</v>
          </cell>
          <cell r="E561" t="str">
            <v>รายวัน</v>
          </cell>
          <cell r="F561" t="str">
            <v>Sub Contract</v>
          </cell>
          <cell r="G561" t="str">
            <v>พนักงานทั่วไป</v>
          </cell>
        </row>
        <row r="562">
          <cell r="B562" t="str">
            <v>6503026G</v>
          </cell>
          <cell r="C562" t="str">
            <v>นางสาวนภาลัย อรัญศักดิ์</v>
          </cell>
          <cell r="D562" t="str">
            <v>STO</v>
          </cell>
          <cell r="E562" t="str">
            <v>รายวัน</v>
          </cell>
          <cell r="F562" t="str">
            <v>Sub Contract</v>
          </cell>
          <cell r="G562" t="str">
            <v>พนักงานทั่วไป</v>
          </cell>
        </row>
        <row r="563">
          <cell r="B563" t="str">
            <v>6503027G</v>
          </cell>
          <cell r="C563" t="str">
            <v>นายสุรชัย ทองศรี</v>
          </cell>
          <cell r="D563" t="str">
            <v>FMG-A</v>
          </cell>
          <cell r="E563" t="str">
            <v>รายวัน</v>
          </cell>
          <cell r="F563" t="str">
            <v>Sub Contract</v>
          </cell>
          <cell r="G563" t="str">
            <v>พนักงานทั่วไป</v>
          </cell>
        </row>
        <row r="564">
          <cell r="B564" t="str">
            <v>6503028S</v>
          </cell>
          <cell r="C564" t="str">
            <v>นายณภัทร   สิมลี</v>
          </cell>
          <cell r="D564" t="str">
            <v>STO</v>
          </cell>
          <cell r="E564" t="str">
            <v>รายวัน</v>
          </cell>
          <cell r="F564" t="str">
            <v>Trainees</v>
          </cell>
          <cell r="G564" t="str">
            <v>นักศึกษาฝึกงาน</v>
          </cell>
        </row>
        <row r="565">
          <cell r="B565" t="str">
            <v>6503029S</v>
          </cell>
          <cell r="C565" t="str">
            <v>นายชานนท์   บุตรงาม</v>
          </cell>
          <cell r="D565" t="str">
            <v>CUT</v>
          </cell>
          <cell r="E565" t="str">
            <v>รายวัน</v>
          </cell>
          <cell r="F565" t="str">
            <v>Trainees</v>
          </cell>
          <cell r="G565" t="str">
            <v>นักศึกษาฝึกงาน</v>
          </cell>
        </row>
        <row r="566">
          <cell r="B566" t="str">
            <v>6503030S</v>
          </cell>
          <cell r="C566" t="str">
            <v>นายพลกฤต   ทองบุรี</v>
          </cell>
          <cell r="D566" t="str">
            <v>EN</v>
          </cell>
          <cell r="E566" t="str">
            <v>รายวัน</v>
          </cell>
          <cell r="F566" t="str">
            <v>Trainees</v>
          </cell>
          <cell r="G566" t="str">
            <v>นักศึกษาฝึกงาน</v>
          </cell>
        </row>
        <row r="567">
          <cell r="B567" t="str">
            <v>6503031S</v>
          </cell>
          <cell r="C567" t="str">
            <v>นายชานนท์   ประชุมชาติ</v>
          </cell>
          <cell r="D567" t="str">
            <v>FMG-B</v>
          </cell>
          <cell r="E567" t="str">
            <v>รายวัน</v>
          </cell>
          <cell r="F567" t="str">
            <v>Trainees</v>
          </cell>
          <cell r="G567" t="str">
            <v>นักศึกษาฝึกงาน</v>
          </cell>
        </row>
        <row r="568">
          <cell r="B568" t="str">
            <v>6503032S</v>
          </cell>
          <cell r="C568" t="str">
            <v>นายไกรวิทย์   ศรีอุปรัตน์ (PLA)</v>
          </cell>
          <cell r="D568" t="str">
            <v>EXT</v>
          </cell>
          <cell r="E568" t="str">
            <v>รายวัน</v>
          </cell>
          <cell r="F568" t="str">
            <v>Trainees</v>
          </cell>
          <cell r="G568" t="str">
            <v>นักศึกษาฝึกงาน</v>
          </cell>
        </row>
        <row r="569">
          <cell r="B569" t="str">
            <v>6503033S</v>
          </cell>
          <cell r="C569" t="str">
            <v>นายอดิศร   ถำวาปี</v>
          </cell>
          <cell r="D569" t="str">
            <v>FMG-A</v>
          </cell>
          <cell r="E569" t="str">
            <v>รายวัน</v>
          </cell>
          <cell r="F569" t="str">
            <v>Trainees</v>
          </cell>
          <cell r="G569" t="str">
            <v>นักศึกษาฝึกงาน</v>
          </cell>
        </row>
        <row r="570">
          <cell r="B570" t="str">
            <v>6503034S</v>
          </cell>
          <cell r="C570" t="str">
            <v>นายชัยศิริ   มาเยอะกู่</v>
          </cell>
          <cell r="D570" t="str">
            <v>FMG-B</v>
          </cell>
          <cell r="E570" t="str">
            <v>รายวัน</v>
          </cell>
          <cell r="F570" t="str">
            <v>Trainees</v>
          </cell>
          <cell r="G570" t="str">
            <v>นักศึกษาฝึกงาน</v>
          </cell>
        </row>
        <row r="571">
          <cell r="B571" t="str">
            <v>6503035S</v>
          </cell>
          <cell r="C571" t="str">
            <v>นายกฤษฎา   ชูบุตร</v>
          </cell>
          <cell r="D571" t="str">
            <v>FMG-B</v>
          </cell>
          <cell r="E571" t="str">
            <v>รายวัน</v>
          </cell>
          <cell r="F571" t="str">
            <v>Trainees</v>
          </cell>
          <cell r="G571" t="str">
            <v>นักศึกษาฝึกงาน</v>
          </cell>
        </row>
        <row r="572">
          <cell r="B572" t="str">
            <v>6503036S</v>
          </cell>
          <cell r="C572" t="str">
            <v>นายภาคิน   อ่อนปาน</v>
          </cell>
          <cell r="D572" t="str">
            <v>FMG-A</v>
          </cell>
          <cell r="E572" t="str">
            <v>รายวัน</v>
          </cell>
          <cell r="F572" t="str">
            <v>Trainees</v>
          </cell>
          <cell r="G572" t="str">
            <v>นักศึกษาฝึกงาน</v>
          </cell>
        </row>
        <row r="573">
          <cell r="B573" t="str">
            <v>6503037S</v>
          </cell>
          <cell r="C573" t="str">
            <v>นายกิตติคุณ   คำนวน</v>
          </cell>
          <cell r="D573" t="str">
            <v>FMG-B</v>
          </cell>
          <cell r="E573" t="str">
            <v>รายวัน</v>
          </cell>
          <cell r="F573" t="str">
            <v>Trainees</v>
          </cell>
          <cell r="G573" t="str">
            <v>นักศึกษาฝึกงาน</v>
          </cell>
        </row>
        <row r="574">
          <cell r="B574" t="str">
            <v>6503038S</v>
          </cell>
          <cell r="C574" t="str">
            <v>นายสุวรรณ   นำนาผล</v>
          </cell>
          <cell r="D574" t="str">
            <v>FMG-A</v>
          </cell>
          <cell r="E574" t="str">
            <v>รายวัน</v>
          </cell>
          <cell r="F574" t="str">
            <v>Trainees</v>
          </cell>
          <cell r="G574" t="str">
            <v>นักศึกษาฝึกงาน</v>
          </cell>
        </row>
        <row r="575">
          <cell r="B575" t="str">
            <v>6503039S</v>
          </cell>
          <cell r="C575" t="str">
            <v>นายธีรยุทธ   ทรงนาศึก</v>
          </cell>
          <cell r="D575" t="str">
            <v>FMG-B</v>
          </cell>
          <cell r="E575" t="str">
            <v>รายวัน</v>
          </cell>
          <cell r="F575" t="str">
            <v>Trainees</v>
          </cell>
          <cell r="G575" t="str">
            <v>นักศึกษาฝึกงาน</v>
          </cell>
        </row>
        <row r="576">
          <cell r="B576" t="str">
            <v>6503040S</v>
          </cell>
          <cell r="C576" t="str">
            <v>นายพงศพัศ   วาระเพียง</v>
          </cell>
          <cell r="D576" t="str">
            <v>FMG-A</v>
          </cell>
          <cell r="E576" t="str">
            <v>รายวัน</v>
          </cell>
          <cell r="F576" t="str">
            <v>Trainees</v>
          </cell>
          <cell r="G576" t="str">
            <v>นักศึกษาฝึกงาน</v>
          </cell>
        </row>
        <row r="577">
          <cell r="B577" t="str">
            <v>6503041G</v>
          </cell>
          <cell r="C577" t="str">
            <v>นางสาวบุษยารัตน์ อัจฉฤกษ์</v>
          </cell>
          <cell r="D577" t="str">
            <v>FNG-1</v>
          </cell>
          <cell r="E577" t="str">
            <v>รายวัน</v>
          </cell>
          <cell r="F577" t="str">
            <v>Sub Contract</v>
          </cell>
          <cell r="G577" t="str">
            <v>พนักงานทั่วไป</v>
          </cell>
        </row>
        <row r="578">
          <cell r="B578" t="str">
            <v>6503042G</v>
          </cell>
          <cell r="C578" t="str">
            <v>นางสาวอุมาพร ศรีสมุทร</v>
          </cell>
          <cell r="D578" t="str">
            <v>FNG-6</v>
          </cell>
          <cell r="E578" t="str">
            <v>รายวัน</v>
          </cell>
          <cell r="F578" t="str">
            <v>Sub Contract</v>
          </cell>
          <cell r="G578" t="str">
            <v>พนักงานทั่วไป</v>
          </cell>
        </row>
        <row r="579">
          <cell r="B579" t="str">
            <v>6504001G</v>
          </cell>
          <cell r="C579" t="str">
            <v>นางสาวพัชรี ภาคแก้ว</v>
          </cell>
          <cell r="D579" t="str">
            <v>FNG-2</v>
          </cell>
          <cell r="E579" t="str">
            <v>รายวัน</v>
          </cell>
          <cell r="F579" t="str">
            <v>Sub Contract</v>
          </cell>
          <cell r="G579" t="str">
            <v>พนักงานทั่วไป</v>
          </cell>
        </row>
        <row r="580">
          <cell r="B580">
            <v>6504002</v>
          </cell>
          <cell r="C580" t="str">
            <v>นางสาวมณีรัตน์ ทองเขียว</v>
          </cell>
          <cell r="D580" t="str">
            <v>MT</v>
          </cell>
          <cell r="E580" t="str">
            <v>รายเดือน</v>
          </cell>
          <cell r="F580" t="str">
            <v>CAR</v>
          </cell>
          <cell r="G580" t="str">
            <v>พนักงานธุรการ</v>
          </cell>
        </row>
        <row r="581">
          <cell r="B581" t="str">
            <v>6504003G</v>
          </cell>
          <cell r="C581" t="str">
            <v>นางสาวรัตน์ติกาล ลุนพุฒ</v>
          </cell>
          <cell r="D581" t="str">
            <v>FNG-5</v>
          </cell>
          <cell r="E581" t="str">
            <v>รายวัน</v>
          </cell>
          <cell r="F581" t="str">
            <v>Sub Contract</v>
          </cell>
          <cell r="G581" t="str">
            <v>พนักงานทั่วไป</v>
          </cell>
        </row>
        <row r="582">
          <cell r="B582" t="str">
            <v>6504004G</v>
          </cell>
          <cell r="C582" t="str">
            <v>นางสาวศิริลักษณ์ ลุนพุฒ</v>
          </cell>
          <cell r="D582" t="str">
            <v>FNG-1</v>
          </cell>
          <cell r="E582" t="str">
            <v>รายวัน</v>
          </cell>
          <cell r="F582" t="str">
            <v>Sub Contract</v>
          </cell>
          <cell r="G582" t="str">
            <v>พนักงานทั่วไป</v>
          </cell>
        </row>
        <row r="583">
          <cell r="B583" t="str">
            <v>6504005G</v>
          </cell>
          <cell r="C583" t="str">
            <v>นางสาววนิดา เสมอโภค</v>
          </cell>
          <cell r="D583" t="str">
            <v>FNG-6</v>
          </cell>
          <cell r="E583" t="str">
            <v>รายวัน</v>
          </cell>
          <cell r="F583" t="str">
            <v>Sub Contract</v>
          </cell>
          <cell r="G583" t="str">
            <v>พนักงานทั่วไป</v>
          </cell>
        </row>
        <row r="584">
          <cell r="B584" t="str">
            <v>6504006S</v>
          </cell>
          <cell r="C584" t="str">
            <v>นายสุภัทร หนูเกลี้ยง</v>
          </cell>
          <cell r="D584" t="str">
            <v>FMG-A</v>
          </cell>
          <cell r="E584" t="str">
            <v>รายวัน</v>
          </cell>
          <cell r="F584" t="str">
            <v>Trainees</v>
          </cell>
          <cell r="G584" t="str">
            <v>พนักงานทั่วไป</v>
          </cell>
        </row>
        <row r="585">
          <cell r="B585">
            <v>6504007</v>
          </cell>
          <cell r="C585" t="str">
            <v>นายพชร  กสิโกศล</v>
          </cell>
          <cell r="D585" t="str">
            <v>STO</v>
          </cell>
          <cell r="E585" t="str">
            <v>รายวัน</v>
          </cell>
          <cell r="F585" t="str">
            <v>CAR</v>
          </cell>
          <cell r="G585" t="str">
            <v>พนักงานทั่วไป</v>
          </cell>
        </row>
        <row r="586">
          <cell r="B586" t="str">
            <v>6504008</v>
          </cell>
          <cell r="C586" t="str">
            <v>นางสาวลัดดาวัลย์ กลั่นสาน</v>
          </cell>
          <cell r="D586" t="str">
            <v>QA/QC</v>
          </cell>
          <cell r="E586" t="str">
            <v>รายเดือน</v>
          </cell>
          <cell r="F586" t="str">
            <v>CAR</v>
          </cell>
          <cell r="G586" t="str">
            <v>QC LAB</v>
          </cell>
        </row>
        <row r="587">
          <cell r="B587" t="str">
            <v>6504009G</v>
          </cell>
          <cell r="C587" t="str">
            <v>นางสาวจิราวรรณ พันธะ</v>
          </cell>
          <cell r="D587" t="str">
            <v>STO</v>
          </cell>
          <cell r="E587" t="str">
            <v>รายวัน</v>
          </cell>
          <cell r="F587" t="str">
            <v>Sub Contract</v>
          </cell>
          <cell r="G587" t="str">
            <v>พนักงานทั่วไป</v>
          </cell>
        </row>
        <row r="588">
          <cell r="B588">
            <v>6504010</v>
          </cell>
          <cell r="C588" t="str">
            <v>นางสาวธิดารัตน์ เสาทอง</v>
          </cell>
          <cell r="D588" t="str">
            <v>QA/QC</v>
          </cell>
          <cell r="E588" t="str">
            <v>รายเดือน</v>
          </cell>
          <cell r="F588" t="str">
            <v>CAR</v>
          </cell>
          <cell r="G588" t="str">
            <v>QC Line</v>
          </cell>
        </row>
        <row r="589">
          <cell r="B589">
            <v>6504011</v>
          </cell>
          <cell r="C589" t="str">
            <v>นายธีรวัต ถาอิ่นแก้ว</v>
          </cell>
          <cell r="D589" t="str">
            <v>STO</v>
          </cell>
          <cell r="E589" t="str">
            <v>รายวัน</v>
          </cell>
          <cell r="F589" t="str">
            <v>CAR</v>
          </cell>
          <cell r="G589" t="str">
            <v>พนักงานทั่วไป</v>
          </cell>
        </row>
        <row r="590">
          <cell r="B590" t="str">
            <v>6504012T</v>
          </cell>
          <cell r="C590" t="str">
            <v>นายอภิรัตน์ สุวรรณ</v>
          </cell>
          <cell r="D590" t="str">
            <v>FMG-A</v>
          </cell>
          <cell r="E590" t="str">
            <v>รายวัน</v>
          </cell>
          <cell r="F590" t="str">
            <v>Sub Contract</v>
          </cell>
          <cell r="G590" t="str">
            <v>พนักงานทั่วไป</v>
          </cell>
        </row>
        <row r="591">
          <cell r="B591">
            <v>6504013</v>
          </cell>
          <cell r="C591" t="str">
            <v>นางสาวชุติมา นาพูล</v>
          </cell>
          <cell r="D591" t="str">
            <v>MK</v>
          </cell>
          <cell r="E591" t="str">
            <v>รายวัน</v>
          </cell>
          <cell r="F591" t="str">
            <v>CAR</v>
          </cell>
          <cell r="G591" t="str">
            <v>เจ้าหน้าที่</v>
          </cell>
        </row>
        <row r="592">
          <cell r="B592" t="str">
            <v>6504014G</v>
          </cell>
          <cell r="C592" t="str">
            <v>นางสาวพรรณธิภาดา คันที</v>
          </cell>
          <cell r="D592" t="str">
            <v>STO</v>
          </cell>
          <cell r="E592" t="str">
            <v>รายวัน</v>
          </cell>
          <cell r="F592" t="str">
            <v>Sub Contract</v>
          </cell>
          <cell r="G592" t="str">
            <v>พนักงานทั่วไป</v>
          </cell>
        </row>
        <row r="593">
          <cell r="B593" t="str">
            <v>6504015G</v>
          </cell>
          <cell r="C593" t="str">
            <v>นางสาวพนาวัลย์ นบนาคพะเนาว์</v>
          </cell>
          <cell r="D593" t="str">
            <v>EN</v>
          </cell>
          <cell r="E593" t="str">
            <v>รายวัน</v>
          </cell>
          <cell r="F593" t="str">
            <v>Sub Contract</v>
          </cell>
          <cell r="G593" t="str">
            <v>พนักงานทั่วไป</v>
          </cell>
        </row>
        <row r="594">
          <cell r="B594">
            <v>6504016</v>
          </cell>
          <cell r="C594" t="str">
            <v>นายอนุวัฒน์ ทบภักดิ์</v>
          </cell>
          <cell r="D594" t="str">
            <v>EN</v>
          </cell>
          <cell r="E594" t="str">
            <v>รายวัน</v>
          </cell>
          <cell r="F594" t="str">
            <v>CAR</v>
          </cell>
          <cell r="G594" t="str">
            <v>พนักงานทั่วไป</v>
          </cell>
        </row>
        <row r="595">
          <cell r="B595" t="str">
            <v>6504017T</v>
          </cell>
          <cell r="C595" t="str">
            <v>นางสาวสุภาวดี จันทร์พล</v>
          </cell>
          <cell r="D595" t="str">
            <v>FNG-2</v>
          </cell>
          <cell r="E595" t="str">
            <v>รายวัน</v>
          </cell>
          <cell r="F595" t="str">
            <v>Sub Contract</v>
          </cell>
          <cell r="G595" t="str">
            <v>พนักงานทั่วไป</v>
          </cell>
        </row>
        <row r="596">
          <cell r="B596">
            <v>6504018</v>
          </cell>
          <cell r="C596" t="str">
            <v>นายศุภกิจ ศรีษะเกตุ</v>
          </cell>
          <cell r="D596" t="str">
            <v>FMG-A</v>
          </cell>
          <cell r="E596" t="str">
            <v>รายวัน</v>
          </cell>
          <cell r="F596" t="str">
            <v>CAR</v>
          </cell>
          <cell r="G596" t="str">
            <v>พนักงานทั่วไป</v>
          </cell>
        </row>
        <row r="597">
          <cell r="B597">
            <v>6504019</v>
          </cell>
          <cell r="C597" t="str">
            <v>นายกิติศักดิ์ ลักษณะวิเชียร</v>
          </cell>
          <cell r="D597" t="str">
            <v>EXT</v>
          </cell>
          <cell r="E597" t="str">
            <v>รายวัน</v>
          </cell>
          <cell r="F597" t="str">
            <v>CAR</v>
          </cell>
          <cell r="G597" t="str">
            <v>พนักงานทั่วไป</v>
          </cell>
        </row>
        <row r="598">
          <cell r="B598">
            <v>6504020</v>
          </cell>
          <cell r="C598" t="str">
            <v>นายเศษสินธุ์ วรรณสิงห์</v>
          </cell>
          <cell r="D598" t="str">
            <v>FMG-B</v>
          </cell>
          <cell r="E598" t="str">
            <v>รายเดือน</v>
          </cell>
          <cell r="F598" t="str">
            <v>CAR</v>
          </cell>
          <cell r="G598" t="str">
            <v>พนักงานทั่วไป</v>
          </cell>
        </row>
        <row r="599">
          <cell r="B599" t="str">
            <v>6504021T</v>
          </cell>
          <cell r="C599" t="str">
            <v>นายพจน์ประชา พระสังคา</v>
          </cell>
          <cell r="D599" t="str">
            <v>FMG-B</v>
          </cell>
          <cell r="E599" t="str">
            <v>รายวัน</v>
          </cell>
          <cell r="F599" t="str">
            <v>Sub Contract</v>
          </cell>
          <cell r="G599" t="str">
            <v>พนักงานทั่วไป</v>
          </cell>
        </row>
        <row r="600">
          <cell r="B600" t="str">
            <v>6504022G</v>
          </cell>
          <cell r="C600" t="str">
            <v>นายวุฒิพงษ์ สังขะวรรณ</v>
          </cell>
          <cell r="D600" t="str">
            <v>FMG-A</v>
          </cell>
          <cell r="E600" t="str">
            <v>รายวัน</v>
          </cell>
          <cell r="F600" t="str">
            <v>Sub Contract</v>
          </cell>
          <cell r="G600" t="str">
            <v>พนักงานทั่วไป</v>
          </cell>
        </row>
        <row r="601">
          <cell r="B601" t="str">
            <v>6504023G</v>
          </cell>
          <cell r="C601" t="str">
            <v>นายตะวัน นิยมชาติ</v>
          </cell>
          <cell r="D601" t="str">
            <v>FMG-B</v>
          </cell>
          <cell r="E601" t="str">
            <v>รายวัน</v>
          </cell>
          <cell r="F601" t="str">
            <v>Sub Contract</v>
          </cell>
          <cell r="G601" t="str">
            <v>พนักงานทั่วไป</v>
          </cell>
        </row>
        <row r="602">
          <cell r="B602">
            <v>6504024</v>
          </cell>
          <cell r="C602" t="str">
            <v>นายวาสุกรี อินสอาด</v>
          </cell>
          <cell r="D602" t="str">
            <v>PD</v>
          </cell>
          <cell r="E602" t="str">
            <v>รายเดือน</v>
          </cell>
          <cell r="F602" t="str">
            <v>CAR</v>
          </cell>
          <cell r="G602" t="str">
            <v>หัวหน้าแผนก</v>
          </cell>
        </row>
        <row r="603">
          <cell r="B603">
            <v>6504025</v>
          </cell>
          <cell r="C603" t="str">
            <v>นายนรินทร์ ชารีรักษ์</v>
          </cell>
          <cell r="D603" t="str">
            <v>PD</v>
          </cell>
          <cell r="E603" t="str">
            <v>รายเดือน</v>
          </cell>
          <cell r="F603" t="str">
            <v>CAR</v>
          </cell>
          <cell r="G603" t="str">
            <v>หัวหน้าแผนก</v>
          </cell>
        </row>
        <row r="604">
          <cell r="B604">
            <v>6504026</v>
          </cell>
          <cell r="C604" t="str">
            <v>นางสาวสุรีพร มีพวงผล</v>
          </cell>
          <cell r="D604" t="str">
            <v>FNG-2</v>
          </cell>
          <cell r="E604" t="str">
            <v>รายวัน</v>
          </cell>
          <cell r="F604" t="str">
            <v>CAR</v>
          </cell>
          <cell r="G604" t="str">
            <v>พนักงานทั่วไป</v>
          </cell>
        </row>
        <row r="605">
          <cell r="B605" t="str">
            <v>6504027G</v>
          </cell>
          <cell r="C605" t="str">
            <v>นายพนมไพร สุรันนา (PLA)</v>
          </cell>
          <cell r="D605" t="str">
            <v>EXT</v>
          </cell>
          <cell r="E605" t="str">
            <v>รายวัน</v>
          </cell>
          <cell r="F605" t="str">
            <v>Sub Contract</v>
          </cell>
          <cell r="G605" t="str">
            <v>พนักงานทั่วไป</v>
          </cell>
        </row>
        <row r="606">
          <cell r="B606" t="str">
            <v>6504028G</v>
          </cell>
          <cell r="C606" t="str">
            <v>นางสาวมณีนารถ บุญเผย</v>
          </cell>
          <cell r="D606" t="str">
            <v>STO</v>
          </cell>
          <cell r="E606" t="str">
            <v>รายวัน</v>
          </cell>
          <cell r="F606" t="str">
            <v>Sub Contract</v>
          </cell>
          <cell r="G606" t="str">
            <v>พนักงานทั่วไป</v>
          </cell>
        </row>
        <row r="607">
          <cell r="B607">
            <v>6504030</v>
          </cell>
          <cell r="C607" t="str">
            <v>นายณัฐวุธ ศรีสว่าง</v>
          </cell>
          <cell r="D607" t="str">
            <v>FMG-A</v>
          </cell>
          <cell r="E607" t="str">
            <v>รายวัน</v>
          </cell>
          <cell r="F607" t="str">
            <v>CAR</v>
          </cell>
          <cell r="G607" t="str">
            <v>พนักงานทั่วไป</v>
          </cell>
        </row>
        <row r="608">
          <cell r="B608">
            <v>6504031</v>
          </cell>
          <cell r="C608" t="str">
            <v>นายศรันย์ ทองสุข</v>
          </cell>
          <cell r="D608" t="str">
            <v>FMG-B</v>
          </cell>
          <cell r="E608" t="str">
            <v>รายวัน</v>
          </cell>
          <cell r="F608" t="str">
            <v>CAR</v>
          </cell>
          <cell r="G608" t="str">
            <v>พนักงานทั่วไป</v>
          </cell>
        </row>
        <row r="609">
          <cell r="B609">
            <v>6504032</v>
          </cell>
          <cell r="C609" t="str">
            <v>นางสาวสุธิชา ไกรเดชวัลลภ</v>
          </cell>
          <cell r="D609" t="str">
            <v>QA/QC</v>
          </cell>
          <cell r="E609" t="str">
            <v>รายเดือน</v>
          </cell>
          <cell r="F609" t="str">
            <v>CAR</v>
          </cell>
          <cell r="G609" t="str">
            <v>QC Line</v>
          </cell>
        </row>
        <row r="610">
          <cell r="B610">
            <v>6504033</v>
          </cell>
          <cell r="C610" t="str">
            <v>นางสาวอริสรา อุดทา</v>
          </cell>
          <cell r="D610" t="str">
            <v>QA/QC</v>
          </cell>
          <cell r="E610" t="str">
            <v>รายเดือน</v>
          </cell>
          <cell r="F610" t="str">
            <v>CAR</v>
          </cell>
          <cell r="G610" t="str">
            <v>QC Line</v>
          </cell>
        </row>
        <row r="611">
          <cell r="B611">
            <v>6504034</v>
          </cell>
          <cell r="C611" t="str">
            <v>นายอติเทพ บุสยาตรัส</v>
          </cell>
          <cell r="D611" t="str">
            <v>FMG-A</v>
          </cell>
          <cell r="E611" t="str">
            <v>รายวัน</v>
          </cell>
          <cell r="F611" t="str">
            <v>CAR</v>
          </cell>
          <cell r="G611" t="str">
            <v>พนักงานทั่วไป</v>
          </cell>
        </row>
        <row r="612">
          <cell r="B612" t="str">
            <v>6505001</v>
          </cell>
          <cell r="C612" t="str">
            <v xml:space="preserve">นาย ประสงค์  เลือกหา  </v>
          </cell>
          <cell r="D612" t="str">
            <v>PD</v>
          </cell>
          <cell r="E612" t="str">
            <v>รายเดือน</v>
          </cell>
          <cell r="F612" t="str">
            <v>CAR</v>
          </cell>
          <cell r="G612" t="str">
            <v>ผู้จัดการแผนก</v>
          </cell>
        </row>
        <row r="613">
          <cell r="B613" t="str">
            <v>6505002</v>
          </cell>
          <cell r="C613" t="str">
            <v xml:space="preserve">นางสาว สุภาพร  เสามั่น  </v>
          </cell>
          <cell r="D613" t="str">
            <v>HR&amp;GA/ IT</v>
          </cell>
          <cell r="E613" t="str">
            <v>รายเดือน</v>
          </cell>
          <cell r="F613" t="str">
            <v>CAR</v>
          </cell>
          <cell r="G613" t="str">
            <v>เจ้าหน้าที่ จป.</v>
          </cell>
        </row>
        <row r="614">
          <cell r="B614">
            <v>6505003</v>
          </cell>
          <cell r="C614" t="str">
            <v xml:space="preserve">นางสาว พิมพิศา  วิชัยโย  </v>
          </cell>
          <cell r="D614" t="str">
            <v>EXT</v>
          </cell>
          <cell r="E614" t="str">
            <v>รายวัน</v>
          </cell>
          <cell r="F614" t="str">
            <v>CAR</v>
          </cell>
          <cell r="G614" t="str">
            <v>พนักงานทั่วไป</v>
          </cell>
        </row>
        <row r="615">
          <cell r="B615">
            <v>6505004</v>
          </cell>
          <cell r="C615" t="str">
            <v xml:space="preserve">นางสาว สุกัญญา  ไกรศรีทุม  </v>
          </cell>
          <cell r="D615" t="str">
            <v>FNG-1</v>
          </cell>
          <cell r="E615" t="str">
            <v>รายวัน</v>
          </cell>
          <cell r="F615" t="str">
            <v>CAR</v>
          </cell>
          <cell r="G615" t="str">
            <v>พนักงานทั่วไป</v>
          </cell>
        </row>
        <row r="616">
          <cell r="B616" t="str">
            <v>6505005</v>
          </cell>
          <cell r="C616" t="str">
            <v xml:space="preserve">นางสาว พัชรี  ศรีสุทธิ์  </v>
          </cell>
          <cell r="D616" t="str">
            <v>EN</v>
          </cell>
          <cell r="E616" t="str">
            <v>รายวัน</v>
          </cell>
          <cell r="F616" t="str">
            <v>CAR</v>
          </cell>
          <cell r="G616" t="str">
            <v>พนักงานทั่วไป</v>
          </cell>
        </row>
        <row r="617">
          <cell r="B617" t="str">
            <v>6505006</v>
          </cell>
          <cell r="C617" t="str">
            <v xml:space="preserve">นาง ชลชนก  ไชยพระอินทร์  </v>
          </cell>
          <cell r="D617" t="str">
            <v>FNG-4</v>
          </cell>
          <cell r="E617" t="str">
            <v>รายวัน</v>
          </cell>
          <cell r="F617" t="str">
            <v>CAR</v>
          </cell>
          <cell r="G617" t="str">
            <v>พนักงานทั่วไป</v>
          </cell>
        </row>
        <row r="618">
          <cell r="B618" t="str">
            <v>6505007G</v>
          </cell>
          <cell r="C618" t="str">
            <v xml:space="preserve">นางสาว จุฑามาศ  อินทะสอน  </v>
          </cell>
          <cell r="D618" t="str">
            <v>FNG-6</v>
          </cell>
          <cell r="E618" t="str">
            <v>รายวัน</v>
          </cell>
          <cell r="F618" t="str">
            <v>Sub Contract</v>
          </cell>
          <cell r="G618" t="str">
            <v>พนักงานทั่วไป</v>
          </cell>
        </row>
        <row r="619">
          <cell r="B619">
            <v>6505008</v>
          </cell>
          <cell r="C619" t="str">
            <v xml:space="preserve">นาย ไชยยา  ไชยพระอินทร์  </v>
          </cell>
          <cell r="D619" t="str">
            <v>FMG-A</v>
          </cell>
          <cell r="E619" t="str">
            <v>รายวัน</v>
          </cell>
          <cell r="F619" t="str">
            <v>CAR</v>
          </cell>
          <cell r="G619" t="str">
            <v>พนักงานทั่วไป</v>
          </cell>
        </row>
        <row r="620">
          <cell r="B620" t="str">
            <v>6505009</v>
          </cell>
          <cell r="C620" t="str">
            <v xml:space="preserve">นาย นภัทร  ภารสถิตย์  </v>
          </cell>
          <cell r="D620" t="str">
            <v>FMG-A</v>
          </cell>
          <cell r="E620" t="str">
            <v>รายวัน</v>
          </cell>
          <cell r="F620" t="str">
            <v>CAR</v>
          </cell>
          <cell r="G620" t="str">
            <v>พนักงานทั่วไป</v>
          </cell>
        </row>
        <row r="621">
          <cell r="B621" t="str">
            <v>6505010G</v>
          </cell>
          <cell r="C621" t="str">
            <v xml:space="preserve">นาย ประจวบ  วิเศษ  </v>
          </cell>
          <cell r="D621" t="str">
            <v>FMG-A</v>
          </cell>
          <cell r="E621" t="str">
            <v>รายวัน</v>
          </cell>
          <cell r="F621" t="str">
            <v>Sub Contract</v>
          </cell>
          <cell r="G621" t="str">
            <v>พนักงานทั่วไป</v>
          </cell>
        </row>
        <row r="622">
          <cell r="B622" t="str">
            <v>6505011G</v>
          </cell>
          <cell r="C622" t="str">
            <v xml:space="preserve">นาย ภัคพงษ์  ขจรฟุ้ง  </v>
          </cell>
          <cell r="D622" t="str">
            <v>FMG-A</v>
          </cell>
          <cell r="E622" t="str">
            <v>รายวัน</v>
          </cell>
          <cell r="F622" t="str">
            <v>Sub Contract</v>
          </cell>
          <cell r="G622" t="str">
            <v>พนักงานทั่วไป</v>
          </cell>
        </row>
        <row r="623">
          <cell r="B623" t="str">
            <v>6505012G</v>
          </cell>
          <cell r="C623" t="str">
            <v>นางสาว อังคณารัตน์ เสนคราม</v>
          </cell>
          <cell r="D623" t="str">
            <v>STO</v>
          </cell>
          <cell r="E623" t="str">
            <v>รายวัน</v>
          </cell>
          <cell r="F623" t="str">
            <v>Sub Contract</v>
          </cell>
          <cell r="G623" t="str">
            <v>พนักงานทั่วไป</v>
          </cell>
        </row>
        <row r="624">
          <cell r="B624">
            <v>6505013</v>
          </cell>
          <cell r="C624" t="str">
            <v>นางสาวพัชราพร รัตนมงคล</v>
          </cell>
          <cell r="D624" t="str">
            <v>HR&amp;GA/ IT</v>
          </cell>
          <cell r="E624" t="str">
            <v>รายเดือน</v>
          </cell>
          <cell r="F624" t="str">
            <v>CAR</v>
          </cell>
          <cell r="G624" t="str">
            <v>เจ้าหน้าที่</v>
          </cell>
        </row>
        <row r="625">
          <cell r="B625">
            <v>6505014</v>
          </cell>
          <cell r="C625" t="str">
            <v>นางสาวสาริศา นันใจยะ</v>
          </cell>
          <cell r="D625" t="str">
            <v>MT</v>
          </cell>
          <cell r="E625" t="str">
            <v>รายเดือน</v>
          </cell>
          <cell r="F625" t="str">
            <v>CAR</v>
          </cell>
          <cell r="G625" t="str">
            <v>พนักงานธุรการ</v>
          </cell>
        </row>
        <row r="626">
          <cell r="B626">
            <v>6505015</v>
          </cell>
          <cell r="C626" t="str">
            <v>นายชลกร สายปัน</v>
          </cell>
          <cell r="D626" t="str">
            <v>EN</v>
          </cell>
          <cell r="E626" t="str">
            <v>รายเดือน</v>
          </cell>
          <cell r="F626" t="str">
            <v>CAR</v>
          </cell>
          <cell r="G626" t="str">
            <v>วิศวกร</v>
          </cell>
        </row>
        <row r="627">
          <cell r="B627">
            <v>6505016</v>
          </cell>
          <cell r="C627" t="str">
            <v>นายเสกสรรค์ มินิชิตร</v>
          </cell>
          <cell r="D627" t="str">
            <v>PD</v>
          </cell>
          <cell r="E627" t="str">
            <v>รายเดือน</v>
          </cell>
          <cell r="F627" t="str">
            <v>CAR</v>
          </cell>
          <cell r="G627" t="str">
            <v>หัวหน้าหน่วย</v>
          </cell>
        </row>
        <row r="628">
          <cell r="B628">
            <v>6505017</v>
          </cell>
          <cell r="C628" t="str">
            <v>นายพิชญตม์ รัตนพันธ์</v>
          </cell>
          <cell r="D628" t="str">
            <v>EN</v>
          </cell>
          <cell r="E628" t="str">
            <v>รายเดือน</v>
          </cell>
          <cell r="F628" t="str">
            <v>CAR</v>
          </cell>
          <cell r="G628" t="str">
            <v>ผู้ช่วยผู้จัดการแผนก</v>
          </cell>
        </row>
        <row r="629">
          <cell r="B629">
            <v>6505018</v>
          </cell>
          <cell r="C629" t="str">
            <v>นางสาวจิรสุดา พรหมสุวรรณ์</v>
          </cell>
          <cell r="D629" t="str">
            <v>QA/QC</v>
          </cell>
          <cell r="E629" t="str">
            <v>รายเดือน</v>
          </cell>
          <cell r="F629" t="str">
            <v>CAR</v>
          </cell>
          <cell r="G629" t="str">
            <v>เจ้าหน้าที่</v>
          </cell>
        </row>
        <row r="630">
          <cell r="B630">
            <v>6505019</v>
          </cell>
          <cell r="C630" t="str">
            <v>นายขจรศักดิ์ ต้นฮำ</v>
          </cell>
          <cell r="D630" t="str">
            <v>FMG-B</v>
          </cell>
          <cell r="E630" t="str">
            <v>รายเดือน</v>
          </cell>
          <cell r="F630" t="str">
            <v>CAR</v>
          </cell>
          <cell r="G630" t="str">
            <v>set up mold</v>
          </cell>
        </row>
        <row r="631">
          <cell r="B631">
            <v>6505020</v>
          </cell>
          <cell r="C631" t="str">
            <v>นายถิรวัฒน์ คุณขยัน</v>
          </cell>
          <cell r="D631" t="str">
            <v>FMG-B</v>
          </cell>
          <cell r="E631" t="str">
            <v>รายวัน</v>
          </cell>
          <cell r="F631" t="str">
            <v>CAR</v>
          </cell>
          <cell r="G631" t="str">
            <v>พนักงานทั่วไป</v>
          </cell>
        </row>
        <row r="632">
          <cell r="B632">
            <v>6505021</v>
          </cell>
          <cell r="C632" t="str">
            <v>นายพชร  ป่าเกลือ</v>
          </cell>
          <cell r="D632" t="str">
            <v>FMG-A</v>
          </cell>
          <cell r="E632" t="str">
            <v>รายวัน</v>
          </cell>
          <cell r="F632" t="str">
            <v>CAR</v>
          </cell>
          <cell r="G632" t="str">
            <v>พนักงานทั่วไป</v>
          </cell>
        </row>
        <row r="633">
          <cell r="B633">
            <v>6505022</v>
          </cell>
          <cell r="C633" t="str">
            <v>นางสาวโฉมฤดี สีหาเวช</v>
          </cell>
          <cell r="D633" t="str">
            <v>FNG-4</v>
          </cell>
          <cell r="E633" t="str">
            <v>รายวัน</v>
          </cell>
          <cell r="F633" t="str">
            <v>CAR</v>
          </cell>
          <cell r="G633" t="str">
            <v>พนักงานทั่วไป</v>
          </cell>
        </row>
        <row r="634">
          <cell r="B634">
            <v>6505023</v>
          </cell>
          <cell r="C634" t="str">
            <v>นายศุภกร อาจอ</v>
          </cell>
          <cell r="D634" t="str">
            <v>FMG-A</v>
          </cell>
          <cell r="E634" t="str">
            <v>รายวัน</v>
          </cell>
          <cell r="F634" t="str">
            <v>CAR</v>
          </cell>
          <cell r="G634" t="str">
            <v>พนักงานทั่วไป</v>
          </cell>
        </row>
        <row r="635">
          <cell r="B635">
            <v>6505024</v>
          </cell>
          <cell r="C635" t="str">
            <v>นายการุณย์ มณีศรี</v>
          </cell>
          <cell r="D635" t="str">
            <v>FMG-A</v>
          </cell>
          <cell r="E635" t="str">
            <v>รายวัน</v>
          </cell>
          <cell r="F635" t="str">
            <v>CAR</v>
          </cell>
          <cell r="G635" t="str">
            <v>พนักงานทั่วไป</v>
          </cell>
        </row>
        <row r="636">
          <cell r="B636" t="str">
            <v>6505025G</v>
          </cell>
          <cell r="C636" t="str">
            <v>นายชัยวัฒน์ สุขก้อง</v>
          </cell>
          <cell r="D636" t="str">
            <v>FMG-B</v>
          </cell>
          <cell r="E636" t="str">
            <v>รายวัน</v>
          </cell>
          <cell r="F636" t="str">
            <v>Sub Contract</v>
          </cell>
          <cell r="G636" t="str">
            <v>พนักงานทั่วไป</v>
          </cell>
        </row>
        <row r="637">
          <cell r="B637" t="str">
            <v>6505026G</v>
          </cell>
          <cell r="C637" t="str">
            <v>นายอภิลักษ์ พลศิริ</v>
          </cell>
          <cell r="D637" t="str">
            <v>FMG-A</v>
          </cell>
          <cell r="E637" t="str">
            <v>รายวัน</v>
          </cell>
          <cell r="F637" t="str">
            <v>Sub Contract</v>
          </cell>
          <cell r="G637" t="str">
            <v>พนักงานทั่วไป</v>
          </cell>
        </row>
        <row r="638">
          <cell r="B638" t="str">
            <v>6505027G</v>
          </cell>
          <cell r="C638" t="str">
            <v>นายเปรมศักดิ์ จันทร์แดง</v>
          </cell>
          <cell r="D638" t="str">
            <v>FMG-B</v>
          </cell>
          <cell r="E638" t="str">
            <v>รายวัน</v>
          </cell>
          <cell r="F638" t="str">
            <v>Sub Contract</v>
          </cell>
          <cell r="G638" t="str">
            <v>พนักงานทั่วไป</v>
          </cell>
        </row>
        <row r="639">
          <cell r="B639" t="str">
            <v>6505028G</v>
          </cell>
          <cell r="C639" t="str">
            <v>นายสุทธิพงศ หุ่นสิงห์</v>
          </cell>
          <cell r="D639" t="str">
            <v>FMG-A</v>
          </cell>
          <cell r="E639" t="str">
            <v>รายวัน</v>
          </cell>
          <cell r="F639" t="str">
            <v>Sub Contract</v>
          </cell>
          <cell r="G639" t="str">
            <v>พนักงานทั่วไป</v>
          </cell>
        </row>
        <row r="640">
          <cell r="B640">
            <v>6505029</v>
          </cell>
          <cell r="C640" t="str">
            <v>นายศาสตรา ตังควณิช</v>
          </cell>
          <cell r="D640" t="str">
            <v>EN</v>
          </cell>
          <cell r="E640" t="str">
            <v>รายเดือน</v>
          </cell>
          <cell r="F640" t="str">
            <v>CAR</v>
          </cell>
          <cell r="G640" t="str">
            <v>วิศวกร</v>
          </cell>
        </row>
        <row r="641">
          <cell r="B641">
            <v>6505030</v>
          </cell>
          <cell r="C641" t="str">
            <v>นางสาวจันทร์จิรา สุวอเขียว</v>
          </cell>
          <cell r="D641" t="str">
            <v>EN</v>
          </cell>
          <cell r="E641" t="str">
            <v>รายวัน</v>
          </cell>
          <cell r="F641" t="str">
            <v>CAR</v>
          </cell>
          <cell r="G641" t="str">
            <v>พนักงานทั่วไป</v>
          </cell>
        </row>
        <row r="642">
          <cell r="B642">
            <v>6505031</v>
          </cell>
          <cell r="C642" t="str">
            <v>นายดนุพล สาริกัน</v>
          </cell>
          <cell r="D642" t="str">
            <v>MT</v>
          </cell>
          <cell r="E642" t="str">
            <v>รายเดือน</v>
          </cell>
          <cell r="F642" t="str">
            <v>CAR</v>
          </cell>
          <cell r="G642" t="str">
            <v>ช่างซ่อมบำรุง</v>
          </cell>
        </row>
        <row r="643">
          <cell r="B643">
            <v>6505032</v>
          </cell>
          <cell r="C643" t="str">
            <v>นางสาวบุษยา บุญคง</v>
          </cell>
          <cell r="D643" t="str">
            <v>MK</v>
          </cell>
          <cell r="E643" t="str">
            <v>รายเดือน</v>
          </cell>
          <cell r="F643" t="str">
            <v>CAR</v>
          </cell>
          <cell r="G643" t="str">
            <v>เจ้าหน้าที่</v>
          </cell>
        </row>
        <row r="644">
          <cell r="B644">
            <v>6505033</v>
          </cell>
          <cell r="C644" t="str">
            <v>นายจักรพงศ์ มณโมรา</v>
          </cell>
          <cell r="D644" t="str">
            <v>QA/QC</v>
          </cell>
          <cell r="E644" t="str">
            <v>รายเดือน</v>
          </cell>
          <cell r="F644" t="str">
            <v>CAR</v>
          </cell>
          <cell r="G644" t="str">
            <v>หัวหน้าแผนก</v>
          </cell>
        </row>
        <row r="645">
          <cell r="B645">
            <v>6505034</v>
          </cell>
          <cell r="C645" t="str">
            <v>นายพิเชษฐ์ กิจอภินันท์</v>
          </cell>
          <cell r="D645" t="str">
            <v>QA/QC</v>
          </cell>
          <cell r="E645" t="str">
            <v>รายเดือน</v>
          </cell>
          <cell r="F645" t="str">
            <v>CAR</v>
          </cell>
          <cell r="G645" t="str">
            <v>หัวหน้าแผนก</v>
          </cell>
        </row>
        <row r="646">
          <cell r="B646">
            <v>6505035</v>
          </cell>
          <cell r="C646" t="str">
            <v>นายอำนวยชัย บุญมา</v>
          </cell>
          <cell r="D646" t="str">
            <v>FMG-B</v>
          </cell>
          <cell r="E646" t="str">
            <v>รายเดือน</v>
          </cell>
          <cell r="F646" t="str">
            <v>CAR</v>
          </cell>
          <cell r="G646" t="str">
            <v>set up mold</v>
          </cell>
        </row>
        <row r="647">
          <cell r="B647">
            <v>6506001</v>
          </cell>
          <cell r="C647" t="str">
            <v>นางสาวชลดา เดียวกลาง</v>
          </cell>
          <cell r="D647" t="str">
            <v>PC</v>
          </cell>
          <cell r="E647" t="str">
            <v>รายเดือน</v>
          </cell>
          <cell r="F647" t="str">
            <v>CAR</v>
          </cell>
          <cell r="G647" t="str">
            <v>เจ้าหน้าที่</v>
          </cell>
        </row>
        <row r="648">
          <cell r="B648">
            <v>6506002</v>
          </cell>
          <cell r="C648" t="str">
            <v>นายยุรนันท์ รักษาภา</v>
          </cell>
          <cell r="D648" t="str">
            <v>FMG-A</v>
          </cell>
          <cell r="E648" t="str">
            <v>รายเดือน</v>
          </cell>
          <cell r="F648" t="str">
            <v>CAR</v>
          </cell>
          <cell r="G648" t="str">
            <v>พนักงานทั่วไป</v>
          </cell>
        </row>
        <row r="649">
          <cell r="B649">
            <v>6506003</v>
          </cell>
          <cell r="C649" t="str">
            <v>นางสาววรนุช วงษ์ทอง</v>
          </cell>
          <cell r="D649" t="str">
            <v>FNG-2</v>
          </cell>
          <cell r="E649" t="str">
            <v>รายวัน</v>
          </cell>
          <cell r="F649" t="str">
            <v>CAR</v>
          </cell>
          <cell r="G649" t="str">
            <v>พนักงานทั่วไป</v>
          </cell>
        </row>
        <row r="650">
          <cell r="B650">
            <v>6506004</v>
          </cell>
          <cell r="C650" t="str">
            <v>นางสาวราตรี ศรีอุดร</v>
          </cell>
          <cell r="D650" t="str">
            <v>EN</v>
          </cell>
          <cell r="E650" t="str">
            <v>รายวัน</v>
          </cell>
          <cell r="F650" t="str">
            <v>CAR</v>
          </cell>
          <cell r="G650" t="str">
            <v>พนักงานทั่วไป</v>
          </cell>
        </row>
        <row r="651">
          <cell r="B651" t="str">
            <v>6506005G</v>
          </cell>
          <cell r="C651" t="str">
            <v>นายณัฐพล นาบุญ</v>
          </cell>
          <cell r="D651" t="str">
            <v>FMG-A</v>
          </cell>
          <cell r="E651" t="str">
            <v>รายวัน</v>
          </cell>
          <cell r="F651" t="str">
            <v>Sub Contract</v>
          </cell>
          <cell r="G651" t="str">
            <v>พนักงานทั่วไป</v>
          </cell>
        </row>
        <row r="652">
          <cell r="B652" t="str">
            <v>6506006G</v>
          </cell>
          <cell r="C652" t="str">
            <v>นายวิทยา สีเล</v>
          </cell>
          <cell r="D652" t="str">
            <v>FMG-A</v>
          </cell>
          <cell r="E652" t="str">
            <v>รายวัน</v>
          </cell>
          <cell r="F652" t="str">
            <v>Sub Contract</v>
          </cell>
          <cell r="G652" t="str">
            <v>พนักงานทั่วไป</v>
          </cell>
        </row>
        <row r="653">
          <cell r="B653" t="str">
            <v>6506007G</v>
          </cell>
          <cell r="C653" t="str">
            <v>นายวุฒิชัย กองวาทย์</v>
          </cell>
          <cell r="D653" t="str">
            <v>FMG-A</v>
          </cell>
          <cell r="E653" t="str">
            <v>รายวัน</v>
          </cell>
          <cell r="F653" t="str">
            <v>Sub Contract</v>
          </cell>
          <cell r="G653" t="str">
            <v>พนักงานทั่วไป</v>
          </cell>
        </row>
        <row r="654">
          <cell r="B654">
            <v>6506008</v>
          </cell>
          <cell r="C654" t="str">
            <v>นางสาวอัญชนา บุญพิมล</v>
          </cell>
          <cell r="D654" t="str">
            <v>MK</v>
          </cell>
          <cell r="E654" t="str">
            <v>รายเดือน</v>
          </cell>
          <cell r="F654" t="str">
            <v>CAR</v>
          </cell>
          <cell r="G654" t="str">
            <v>เจ้าหน้าที่</v>
          </cell>
        </row>
        <row r="655">
          <cell r="B655" t="str">
            <v>6506010G</v>
          </cell>
          <cell r="C655" t="str">
            <v>นายปริญญา บุญคำภา</v>
          </cell>
          <cell r="D655" t="str">
            <v>FMG-B</v>
          </cell>
          <cell r="E655" t="str">
            <v>รายวัน</v>
          </cell>
          <cell r="F655" t="str">
            <v>Sub Contract</v>
          </cell>
          <cell r="G655" t="str">
            <v>พนักงานทั่วไป</v>
          </cell>
        </row>
        <row r="656">
          <cell r="B656" t="str">
            <v>6506011G</v>
          </cell>
          <cell r="C656" t="str">
            <v>นายพงษ์ศักดิ์ บัวภาคี</v>
          </cell>
          <cell r="D656" t="str">
            <v>FMG-B</v>
          </cell>
          <cell r="E656" t="str">
            <v>รายวัน</v>
          </cell>
          <cell r="F656" t="str">
            <v>Sub Contract</v>
          </cell>
          <cell r="G656" t="str">
            <v>พนักงานทั่วไป</v>
          </cell>
        </row>
        <row r="657">
          <cell r="B657" t="str">
            <v>6506012G</v>
          </cell>
          <cell r="C657" t="str">
            <v>นายพิชิตชัย  เนินทราย</v>
          </cell>
          <cell r="D657" t="str">
            <v>FMG-B</v>
          </cell>
          <cell r="E657" t="str">
            <v>รายวัน</v>
          </cell>
          <cell r="F657" t="str">
            <v>Sub Contract</v>
          </cell>
          <cell r="G657" t="str">
            <v>พนักงานทั่วไป</v>
          </cell>
        </row>
        <row r="658">
          <cell r="B658">
            <v>6506013</v>
          </cell>
          <cell r="C658" t="str">
            <v>นายปฐมพงศ์ แสนศิลา</v>
          </cell>
          <cell r="D658" t="str">
            <v>FMG-B</v>
          </cell>
          <cell r="E658" t="str">
            <v>รายวัน</v>
          </cell>
          <cell r="F658" t="str">
            <v>CAR</v>
          </cell>
          <cell r="G658" t="str">
            <v>set up mold</v>
          </cell>
        </row>
        <row r="659">
          <cell r="B659">
            <v>6506014</v>
          </cell>
          <cell r="C659" t="str">
            <v>นายอนุวัฒน์ วงภูธร</v>
          </cell>
          <cell r="D659" t="str">
            <v>MIX</v>
          </cell>
          <cell r="E659" t="str">
            <v>รายวัน</v>
          </cell>
          <cell r="F659" t="str">
            <v>CAR</v>
          </cell>
          <cell r="G659" t="str">
            <v>พนักงานทั่วไป</v>
          </cell>
        </row>
        <row r="660">
          <cell r="B660" t="str">
            <v>6506015</v>
          </cell>
          <cell r="C660" t="str">
            <v>นางสาวพิชญดา อึ้งพยัคฆ์เดช</v>
          </cell>
          <cell r="D660" t="str">
            <v>HR&amp;GA/ IT</v>
          </cell>
          <cell r="E660" t="str">
            <v>รายเดือน</v>
          </cell>
          <cell r="F660" t="str">
            <v>CAR</v>
          </cell>
          <cell r="G660" t="str">
            <v>เจ้าหน้าที่ จป.อาวุโส</v>
          </cell>
        </row>
        <row r="661">
          <cell r="B661">
            <v>6506016</v>
          </cell>
          <cell r="C661" t="str">
            <v>นางสาวมุทิตา ชุมมาตร</v>
          </cell>
          <cell r="D661" t="str">
            <v>STO</v>
          </cell>
          <cell r="E661" t="str">
            <v>รายวัน</v>
          </cell>
          <cell r="F661" t="str">
            <v>CAR</v>
          </cell>
          <cell r="G661" t="str">
            <v>พนักงานทั่วไป</v>
          </cell>
        </row>
        <row r="662">
          <cell r="B662">
            <v>6506017</v>
          </cell>
          <cell r="C662" t="str">
            <v>นางสาวพิมพ์ยาดา บุญมา</v>
          </cell>
          <cell r="D662" t="str">
            <v>EN</v>
          </cell>
          <cell r="E662" t="str">
            <v>รายวัน</v>
          </cell>
          <cell r="F662" t="str">
            <v>CAR</v>
          </cell>
          <cell r="G662" t="str">
            <v>พนักงานทั่วไป</v>
          </cell>
        </row>
        <row r="663">
          <cell r="B663">
            <v>6506018</v>
          </cell>
          <cell r="C663" t="str">
            <v>นางสาวสมฤดี สุดดี</v>
          </cell>
          <cell r="D663" t="str">
            <v>FNG-4</v>
          </cell>
          <cell r="E663" t="str">
            <v>รายวัน</v>
          </cell>
          <cell r="F663" t="str">
            <v>CAR</v>
          </cell>
          <cell r="G663" t="str">
            <v>พนักงานทั่วไป</v>
          </cell>
        </row>
        <row r="664">
          <cell r="B664">
            <v>6506019</v>
          </cell>
          <cell r="C664" t="str">
            <v>นางสาวนปภา ฉิมอำพันธ์</v>
          </cell>
          <cell r="D664" t="str">
            <v>FMG-B</v>
          </cell>
          <cell r="E664" t="str">
            <v>รายเดือน</v>
          </cell>
          <cell r="F664" t="str">
            <v>CAR</v>
          </cell>
          <cell r="G664" t="str">
            <v>พนักงานทั่วไป</v>
          </cell>
        </row>
        <row r="665">
          <cell r="B665">
            <v>6506020</v>
          </cell>
          <cell r="C665" t="str">
            <v>นายทองพูล ศิริมี</v>
          </cell>
          <cell r="D665" t="str">
            <v>STO</v>
          </cell>
          <cell r="E665" t="str">
            <v>รายวัน</v>
          </cell>
          <cell r="F665" t="str">
            <v>CAR</v>
          </cell>
          <cell r="G665" t="str">
            <v>พนักงานทั่วไป</v>
          </cell>
        </row>
        <row r="666">
          <cell r="B666">
            <v>6506021</v>
          </cell>
          <cell r="C666" t="str">
            <v>นางสาวกัญญา ปริญจิตร</v>
          </cell>
          <cell r="D666" t="str">
            <v>FNG-2</v>
          </cell>
          <cell r="E666" t="str">
            <v>รายวัน</v>
          </cell>
          <cell r="F666" t="str">
            <v>CAR</v>
          </cell>
          <cell r="G666" t="str">
            <v>พนักงานทั่วไป</v>
          </cell>
        </row>
        <row r="667">
          <cell r="B667">
            <v>6506022</v>
          </cell>
          <cell r="C667" t="str">
            <v>นายวุฒิชัย ต้นสวรรค์</v>
          </cell>
          <cell r="D667" t="str">
            <v>STO</v>
          </cell>
          <cell r="E667" t="str">
            <v>รายเดือน</v>
          </cell>
          <cell r="F667" t="str">
            <v>CAR</v>
          </cell>
          <cell r="G667" t="str">
            <v>พนักงานขับรถโฟล์คลิฟท์</v>
          </cell>
        </row>
        <row r="668">
          <cell r="B668" t="str">
            <v>6506023G</v>
          </cell>
          <cell r="C668" t="str">
            <v>นายบัวขาว กันยาเนตร</v>
          </cell>
          <cell r="D668" t="str">
            <v>FMG-A</v>
          </cell>
          <cell r="E668" t="str">
            <v>รายวัน</v>
          </cell>
          <cell r="F668" t="str">
            <v>Sub Contract</v>
          </cell>
          <cell r="G668" t="str">
            <v>พนักงานทั่วไป</v>
          </cell>
        </row>
        <row r="669">
          <cell r="B669" t="str">
            <v>6506024G</v>
          </cell>
          <cell r="C669" t="str">
            <v>นายหาญศึก ประภา</v>
          </cell>
          <cell r="D669" t="str">
            <v>FMG-A</v>
          </cell>
          <cell r="E669" t="str">
            <v>รายวัน</v>
          </cell>
          <cell r="F669" t="str">
            <v>Sub Contract</v>
          </cell>
          <cell r="G669" t="str">
            <v>พนักงานทั่วไป</v>
          </cell>
        </row>
        <row r="670">
          <cell r="B670" t="str">
            <v>6506025G</v>
          </cell>
          <cell r="C670" t="str">
            <v>นายธนวัฒน์ โคตรบังคม</v>
          </cell>
          <cell r="D670" t="str">
            <v>FMG-B</v>
          </cell>
          <cell r="E670" t="str">
            <v>รายวัน</v>
          </cell>
          <cell r="F670" t="str">
            <v>Sub Contract</v>
          </cell>
          <cell r="G670" t="str">
            <v>พนักงานทั่วไป</v>
          </cell>
        </row>
        <row r="671">
          <cell r="B671" t="str">
            <v>6506026G</v>
          </cell>
          <cell r="C671" t="str">
            <v>นายพิจิกษณ์ สมใจ</v>
          </cell>
          <cell r="D671" t="str">
            <v>FMG-A</v>
          </cell>
          <cell r="E671" t="str">
            <v>รายวัน</v>
          </cell>
          <cell r="F671" t="str">
            <v>Sub Contract</v>
          </cell>
          <cell r="G671" t="str">
            <v>พนักงานทั่วไป</v>
          </cell>
        </row>
        <row r="672">
          <cell r="B672">
            <v>6506027</v>
          </cell>
          <cell r="C672" t="str">
            <v>นายชาตรี มีพวงผล</v>
          </cell>
          <cell r="D672" t="str">
            <v>FMG-A</v>
          </cell>
          <cell r="E672" t="str">
            <v>รายวัน</v>
          </cell>
          <cell r="F672" t="str">
            <v>CAR</v>
          </cell>
          <cell r="G672" t="str">
            <v>พนักงานทั่วไป</v>
          </cell>
        </row>
        <row r="673">
          <cell r="B673">
            <v>6506028</v>
          </cell>
          <cell r="C673" t="str">
            <v>นายอิสระ ทิพบรรจง</v>
          </cell>
          <cell r="D673" t="str">
            <v>MT</v>
          </cell>
          <cell r="E673" t="str">
            <v>รายเดือน</v>
          </cell>
          <cell r="F673" t="str">
            <v>CAR</v>
          </cell>
          <cell r="G673" t="str">
            <v>ช่างซ่อมบำรุง</v>
          </cell>
        </row>
        <row r="674">
          <cell r="B674">
            <v>6507001</v>
          </cell>
          <cell r="C674" t="str">
            <v>นางสาวพัชรินทร์ โสมาบุตร</v>
          </cell>
          <cell r="D674" t="str">
            <v>PD</v>
          </cell>
          <cell r="E674" t="str">
            <v>รายเดือน</v>
          </cell>
          <cell r="F674" t="str">
            <v>CAR</v>
          </cell>
          <cell r="G674" t="str">
            <v>พนักงานธุรการ</v>
          </cell>
        </row>
        <row r="675">
          <cell r="B675">
            <v>6507002</v>
          </cell>
          <cell r="C675" t="str">
            <v>นายทนงศักดิ์ ใจกล้า</v>
          </cell>
          <cell r="D675" t="str">
            <v>MT</v>
          </cell>
          <cell r="E675" t="str">
            <v>รายเดือน</v>
          </cell>
          <cell r="F675" t="str">
            <v>CAR</v>
          </cell>
          <cell r="G675" t="str">
            <v>ช่างซ่อมบำรุง</v>
          </cell>
        </row>
        <row r="676">
          <cell r="B676">
            <v>6507003</v>
          </cell>
          <cell r="C676" t="str">
            <v>นายสถาพร สอนเสนา</v>
          </cell>
          <cell r="D676" t="str">
            <v>FMG-A</v>
          </cell>
          <cell r="E676" t="str">
            <v>รายวัน</v>
          </cell>
          <cell r="F676" t="str">
            <v>CAR</v>
          </cell>
          <cell r="G676" t="str">
            <v>พนักงานทั่วไป</v>
          </cell>
        </row>
        <row r="677">
          <cell r="B677">
            <v>6507004</v>
          </cell>
          <cell r="C677" t="str">
            <v>นางสาวกมลวรรณ ตัง</v>
          </cell>
          <cell r="D677" t="str">
            <v>FNG-4</v>
          </cell>
          <cell r="E677" t="str">
            <v>รายวัน</v>
          </cell>
          <cell r="F677" t="str">
            <v>CAR</v>
          </cell>
          <cell r="G677" t="str">
            <v>พนักงานทั่วไป</v>
          </cell>
        </row>
        <row r="678">
          <cell r="B678" t="str">
            <v>6507005</v>
          </cell>
          <cell r="C678" t="str">
            <v>นางสุดารัตน์ ภาสุดา</v>
          </cell>
          <cell r="D678" t="str">
            <v>STO</v>
          </cell>
          <cell r="E678" t="str">
            <v>รายเดือน</v>
          </cell>
          <cell r="F678" t="str">
            <v>CAR</v>
          </cell>
          <cell r="G678" t="str">
            <v>พนักงานทั่วไป</v>
          </cell>
        </row>
        <row r="679">
          <cell r="B679">
            <v>6507006</v>
          </cell>
          <cell r="C679" t="str">
            <v>นายจิราวัฒน์ กมลรัตน์นราสิน</v>
          </cell>
          <cell r="D679" t="str">
            <v>EN</v>
          </cell>
          <cell r="E679" t="str">
            <v>รายเดือน</v>
          </cell>
          <cell r="F679" t="str">
            <v>CAR</v>
          </cell>
          <cell r="G679" t="str">
            <v>QA/QC&amp;Engineering</v>
          </cell>
        </row>
        <row r="680">
          <cell r="B680">
            <v>6507007</v>
          </cell>
          <cell r="C680" t="str">
            <v>นายเด่นศักดิ์ สวนสนุก</v>
          </cell>
          <cell r="D680" t="str">
            <v>STO</v>
          </cell>
          <cell r="E680" t="str">
            <v>รายเดือน</v>
          </cell>
          <cell r="F680" t="str">
            <v>CAR</v>
          </cell>
          <cell r="G680" t="str">
            <v>พนักงานขับรถโฟล์คลิฟท์</v>
          </cell>
        </row>
        <row r="681">
          <cell r="B681">
            <v>6507008</v>
          </cell>
          <cell r="C681" t="str">
            <v>นางสาวหยาดเดือน ไกยนิตย์</v>
          </cell>
          <cell r="D681" t="str">
            <v>STO</v>
          </cell>
          <cell r="E681" t="str">
            <v>รายวัน</v>
          </cell>
          <cell r="F681" t="str">
            <v>CAR</v>
          </cell>
          <cell r="G681" t="str">
            <v>พนักงานทั่วไป</v>
          </cell>
        </row>
        <row r="682">
          <cell r="B682">
            <v>6507009</v>
          </cell>
          <cell r="C682" t="str">
            <v>นางเพ็ญจันทร์ คะตะวงษ์</v>
          </cell>
          <cell r="D682" t="str">
            <v>FMG-B</v>
          </cell>
          <cell r="E682" t="str">
            <v>รายวัน</v>
          </cell>
          <cell r="F682" t="str">
            <v>CAR</v>
          </cell>
          <cell r="G682" t="str">
            <v>พนักงานทั่วไป</v>
          </cell>
        </row>
        <row r="683">
          <cell r="B683" t="str">
            <v>6507010</v>
          </cell>
          <cell r="C683" t="str">
            <v>นายวัชรพงษ์ พิมพ์ขันธ์</v>
          </cell>
          <cell r="D683" t="str">
            <v>EXT</v>
          </cell>
          <cell r="E683" t="str">
            <v>รายเดือน</v>
          </cell>
          <cell r="F683" t="str">
            <v>CAR</v>
          </cell>
          <cell r="G683" t="str">
            <v>พนักงานทั่วไป</v>
          </cell>
        </row>
        <row r="684">
          <cell r="B684">
            <v>6507011</v>
          </cell>
          <cell r="C684" t="str">
            <v>นายอนุวัฒน์ ขาวสะอาด</v>
          </cell>
          <cell r="D684" t="str">
            <v>PD</v>
          </cell>
          <cell r="E684" t="str">
            <v>รายเดือน</v>
          </cell>
          <cell r="F684" t="str">
            <v>CAR</v>
          </cell>
          <cell r="G684" t="str">
            <v>เจ้าหน้าที่</v>
          </cell>
        </row>
        <row r="685">
          <cell r="B685">
            <v>6507012</v>
          </cell>
          <cell r="C685" t="str">
            <v>นายชลสิทธิ์ ผิวจันทร์</v>
          </cell>
          <cell r="D685" t="str">
            <v>STO</v>
          </cell>
          <cell r="E685" t="str">
            <v>รายวัน</v>
          </cell>
          <cell r="F685" t="str">
            <v>CAR</v>
          </cell>
          <cell r="G685" t="str">
            <v>พนักงานทั่วไป</v>
          </cell>
        </row>
        <row r="686">
          <cell r="B686">
            <v>6507013</v>
          </cell>
          <cell r="C686" t="str">
            <v>นางสาวศุภรานันท์ วิเศษศรี</v>
          </cell>
          <cell r="D686" t="str">
            <v>QA/QC</v>
          </cell>
          <cell r="E686" t="str">
            <v>รายเดือน</v>
          </cell>
          <cell r="F686" t="str">
            <v>CAR</v>
          </cell>
          <cell r="G686" t="str">
            <v>เจ้าหน้าที่</v>
          </cell>
        </row>
        <row r="687">
          <cell r="B687">
            <v>6507014</v>
          </cell>
          <cell r="C687" t="str">
            <v>นางสาวอรณิชา กรุณา</v>
          </cell>
          <cell r="D687" t="str">
            <v>EN</v>
          </cell>
          <cell r="E687" t="str">
            <v>รายเดือน</v>
          </cell>
          <cell r="F687" t="str">
            <v>CAR</v>
          </cell>
          <cell r="G687" t="str">
            <v>เจ้าหน้าที่ธุรการ</v>
          </cell>
        </row>
        <row r="688">
          <cell r="B688">
            <v>6507015</v>
          </cell>
          <cell r="C688" t="str">
            <v>นางสาวกัญญารัตน์ สว่างกุล</v>
          </cell>
          <cell r="D688" t="str">
            <v>QA/QC</v>
          </cell>
          <cell r="E688" t="str">
            <v>รายเดือน</v>
          </cell>
          <cell r="F688" t="str">
            <v>CAR</v>
          </cell>
          <cell r="G688" t="str">
            <v>QC Line</v>
          </cell>
        </row>
        <row r="689">
          <cell r="B689">
            <v>6507016</v>
          </cell>
          <cell r="C689" t="str">
            <v>นายศักดิ์ธร  เที่ยงธรรม</v>
          </cell>
          <cell r="D689" t="str">
            <v>NT</v>
          </cell>
          <cell r="E689" t="str">
            <v>รายวัน</v>
          </cell>
          <cell r="F689" t="str">
            <v>CAR</v>
          </cell>
          <cell r="G689" t="str">
            <v>พนักงานทั่วไป</v>
          </cell>
        </row>
        <row r="690">
          <cell r="B690" t="str">
            <v>6507017</v>
          </cell>
          <cell r="C690" t="str">
            <v>นางสาวธัญชนก  มาเฉลิม</v>
          </cell>
          <cell r="D690" t="str">
            <v>FNG-4</v>
          </cell>
          <cell r="E690" t="str">
            <v>รายเดือน</v>
          </cell>
          <cell r="F690" t="str">
            <v>CAR</v>
          </cell>
          <cell r="G690" t="str">
            <v>พนักงานทั่วไป</v>
          </cell>
        </row>
        <row r="691">
          <cell r="B691" t="str">
            <v>6507018</v>
          </cell>
          <cell r="C691" t="str">
            <v>นายยุรทิตย์  เหล่าเลิศ</v>
          </cell>
          <cell r="D691" t="str">
            <v>CUT</v>
          </cell>
          <cell r="E691" t="str">
            <v>รายเดือน</v>
          </cell>
          <cell r="F691" t="str">
            <v>CAR</v>
          </cell>
          <cell r="G691" t="str">
            <v>พนักงานทั่วไป</v>
          </cell>
        </row>
        <row r="692">
          <cell r="B692">
            <v>6507019</v>
          </cell>
          <cell r="C692" t="str">
            <v>นายวิษณุ  โพธิ์พุ่ม</v>
          </cell>
          <cell r="D692" t="str">
            <v>EXT</v>
          </cell>
          <cell r="E692" t="str">
            <v>รายเดือน</v>
          </cell>
          <cell r="F692" t="str">
            <v>CAR</v>
          </cell>
          <cell r="G692" t="str">
            <v>พนักงานทั่วไป</v>
          </cell>
        </row>
        <row r="693">
          <cell r="B693">
            <v>6508001</v>
          </cell>
          <cell r="C693" t="str">
            <v>นางสาวรัตนวลี หงษ์คำ</v>
          </cell>
          <cell r="D693" t="str">
            <v>EN</v>
          </cell>
          <cell r="E693" t="str">
            <v>รายเดือน</v>
          </cell>
          <cell r="F693" t="str">
            <v>CAR</v>
          </cell>
          <cell r="G693" t="str">
            <v>เจ้าหน้าที่ธุรการ</v>
          </cell>
        </row>
        <row r="694">
          <cell r="B694">
            <v>6508002</v>
          </cell>
          <cell r="C694" t="str">
            <v>นายธีรวุฒิ มังกร</v>
          </cell>
          <cell r="D694" t="str">
            <v>MT</v>
          </cell>
          <cell r="E694" t="str">
            <v>รายเดือน</v>
          </cell>
          <cell r="F694" t="str">
            <v>CAR</v>
          </cell>
          <cell r="G694" t="str">
            <v>ช่างซ่อมบำรุง</v>
          </cell>
        </row>
        <row r="695">
          <cell r="B695" t="str">
            <v>6508003G</v>
          </cell>
          <cell r="C695" t="str">
            <v>นายสิรินนท์ บุญเกิ่ง</v>
          </cell>
          <cell r="D695" t="str">
            <v>FMG-B</v>
          </cell>
          <cell r="E695" t="str">
            <v>รายวัน</v>
          </cell>
          <cell r="F695" t="str">
            <v>Sub Contract</v>
          </cell>
          <cell r="G695" t="str">
            <v>พนักงานทั่วไป</v>
          </cell>
        </row>
        <row r="696">
          <cell r="B696" t="str">
            <v>6508004G</v>
          </cell>
          <cell r="C696" t="str">
            <v>นายสถาพร พูพะไล</v>
          </cell>
          <cell r="D696" t="str">
            <v>FMG-B</v>
          </cell>
          <cell r="E696" t="str">
            <v>รายวัน</v>
          </cell>
          <cell r="F696" t="str">
            <v>Sub Contract</v>
          </cell>
          <cell r="G696" t="str">
            <v>พนักงานทั่วไป</v>
          </cell>
        </row>
        <row r="697">
          <cell r="B697" t="str">
            <v>6508005G</v>
          </cell>
          <cell r="C697" t="str">
            <v>นายชัยยันต์ พันธะมา</v>
          </cell>
          <cell r="D697" t="str">
            <v>FMG-B</v>
          </cell>
          <cell r="E697" t="str">
            <v>รายวัน</v>
          </cell>
          <cell r="F697" t="str">
            <v>Sub Contract</v>
          </cell>
          <cell r="G697" t="str">
            <v>พนักงานทั่วไป</v>
          </cell>
        </row>
        <row r="698">
          <cell r="B698">
            <v>6508006</v>
          </cell>
          <cell r="C698" t="str">
            <v>นายวีระศักดิ์ ทองวิเศษ</v>
          </cell>
          <cell r="D698" t="str">
            <v>PD</v>
          </cell>
          <cell r="E698" t="str">
            <v>รายเดือน</v>
          </cell>
          <cell r="F698" t="str">
            <v>CAR</v>
          </cell>
          <cell r="G698" t="str">
            <v>ผู้ช่วยผู้จัดการแผนก</v>
          </cell>
        </row>
        <row r="699">
          <cell r="B699">
            <v>6508007</v>
          </cell>
          <cell r="C699" t="str">
            <v>นายเจนณรงค์ ปะวะโข</v>
          </cell>
          <cell r="D699" t="str">
            <v>MIX</v>
          </cell>
          <cell r="E699" t="str">
            <v>รายวัน</v>
          </cell>
          <cell r="F699" t="str">
            <v>CAR</v>
          </cell>
          <cell r="G699" t="str">
            <v>พนักงานทั่วไป</v>
          </cell>
        </row>
        <row r="700">
          <cell r="B700" t="str">
            <v>6508008G</v>
          </cell>
          <cell r="C700" t="str">
            <v>นายชาตรี เขียวจีน</v>
          </cell>
          <cell r="D700" t="str">
            <v>STO</v>
          </cell>
          <cell r="E700" t="str">
            <v>รายวัน</v>
          </cell>
          <cell r="F700" t="str">
            <v>Sub Contract</v>
          </cell>
          <cell r="G700" t="str">
            <v>พนักงานทั่วไป</v>
          </cell>
        </row>
        <row r="701">
          <cell r="B701" t="str">
            <v>6508009G</v>
          </cell>
          <cell r="C701" t="str">
            <v>นายตะวัน ทัดกลาง</v>
          </cell>
          <cell r="D701" t="str">
            <v>FMG-A</v>
          </cell>
          <cell r="E701" t="str">
            <v>รายวัน</v>
          </cell>
          <cell r="F701" t="str">
            <v>Sub Contract</v>
          </cell>
          <cell r="G701" t="str">
            <v>พนักงานทั่วไป</v>
          </cell>
        </row>
        <row r="702">
          <cell r="B702" t="str">
            <v>6508010G</v>
          </cell>
          <cell r="C702" t="str">
            <v>นางสาวอนุธิดา โปต๊ะ</v>
          </cell>
          <cell r="D702" t="str">
            <v>FNG-4</v>
          </cell>
          <cell r="E702" t="str">
            <v>รายวัน</v>
          </cell>
          <cell r="F702" t="str">
            <v>Sub Contract</v>
          </cell>
          <cell r="G702" t="str">
            <v>พนักงานทั่วไป</v>
          </cell>
        </row>
        <row r="703">
          <cell r="B703" t="str">
            <v>6508011G</v>
          </cell>
          <cell r="C703" t="str">
            <v>นางสาวสุวรรณี ไตรพรม</v>
          </cell>
          <cell r="D703" t="str">
            <v>FNG-4</v>
          </cell>
          <cell r="E703" t="str">
            <v>รายวัน</v>
          </cell>
          <cell r="F703" t="str">
            <v>Sub Contract</v>
          </cell>
          <cell r="G703" t="str">
            <v>พนักงานทั่วไป</v>
          </cell>
        </row>
        <row r="704">
          <cell r="B704" t="str">
            <v>6508012G</v>
          </cell>
          <cell r="C704" t="str">
            <v>นางสาวแก้วใจ สุโพธิ์</v>
          </cell>
          <cell r="D704" t="str">
            <v>FNG-3</v>
          </cell>
          <cell r="E704" t="str">
            <v>รายวัน</v>
          </cell>
          <cell r="F704" t="str">
            <v>Sub Contract</v>
          </cell>
          <cell r="G704" t="str">
            <v>พนักงานทั่วไป</v>
          </cell>
        </row>
        <row r="705">
          <cell r="B705" t="str">
            <v>6508011G</v>
          </cell>
          <cell r="C705" t="str">
            <v>นายสุนทร ทองแท่ง</v>
          </cell>
          <cell r="D705" t="str">
            <v>FMG-A</v>
          </cell>
          <cell r="E705" t="str">
            <v>รายวัน</v>
          </cell>
          <cell r="F705" t="str">
            <v>Sub Contract</v>
          </cell>
          <cell r="G705" t="str">
            <v>พนักงานทั่วไป</v>
          </cell>
        </row>
        <row r="706">
          <cell r="B706">
            <v>6508014</v>
          </cell>
          <cell r="C706" t="str">
            <v>นายอภิสิทธิ์ คุณแก้ว</v>
          </cell>
          <cell r="D706" t="str">
            <v>STO</v>
          </cell>
          <cell r="E706" t="str">
            <v>รายวัน</v>
          </cell>
          <cell r="F706" t="str">
            <v>CAR</v>
          </cell>
          <cell r="G706" t="str">
            <v>พนักงานทั่วไป</v>
          </cell>
        </row>
        <row r="707">
          <cell r="B707" t="str">
            <v>6508015G</v>
          </cell>
          <cell r="C707" t="str">
            <v>นางสาวกัลยา คำหงษ์สา</v>
          </cell>
          <cell r="D707" t="str">
            <v>EXT</v>
          </cell>
          <cell r="E707" t="str">
            <v>รายวัน</v>
          </cell>
          <cell r="F707" t="str">
            <v>Sub Contract</v>
          </cell>
          <cell r="G707" t="str">
            <v>พนักงานทั่วไป</v>
          </cell>
        </row>
        <row r="708">
          <cell r="B708" t="str">
            <v>6508016G</v>
          </cell>
          <cell r="C708" t="str">
            <v>นางสาวชลธิชา ผ่องใส</v>
          </cell>
          <cell r="D708" t="str">
            <v>FNG-3</v>
          </cell>
          <cell r="E708" t="str">
            <v>รายวัน</v>
          </cell>
          <cell r="F708" t="str">
            <v>Sub Contract</v>
          </cell>
          <cell r="G708" t="str">
            <v>พนักงานทั่วไป</v>
          </cell>
        </row>
        <row r="709">
          <cell r="B709" t="str">
            <v>6508017G</v>
          </cell>
          <cell r="C709" t="str">
            <v>นางสาวฉัตรสุดา ชัยรัมย์</v>
          </cell>
          <cell r="D709" t="str">
            <v>FNG-4</v>
          </cell>
          <cell r="E709" t="str">
            <v>รายวัน</v>
          </cell>
          <cell r="F709" t="str">
            <v>Sub Contract</v>
          </cell>
          <cell r="G709" t="str">
            <v>พนักงานทั่วไป</v>
          </cell>
        </row>
        <row r="710">
          <cell r="B710" t="str">
            <v>6508018G</v>
          </cell>
          <cell r="C710" t="str">
            <v>นางสาวพรรณิภา ประจันกลาง</v>
          </cell>
          <cell r="D710" t="str">
            <v>FNG-4</v>
          </cell>
          <cell r="E710" t="str">
            <v>รายวัน</v>
          </cell>
          <cell r="F710" t="str">
            <v>Sub Contract</v>
          </cell>
          <cell r="G710" t="str">
            <v>พนักงานทั่วไป</v>
          </cell>
        </row>
        <row r="711">
          <cell r="B711">
            <v>6508019</v>
          </cell>
          <cell r="C711" t="str">
            <v>นายกฤษฎา ปัญญาประทุม</v>
          </cell>
          <cell r="D711" t="str">
            <v>FMG-A</v>
          </cell>
          <cell r="E711" t="str">
            <v>รายเดือน</v>
          </cell>
          <cell r="F711" t="str">
            <v>CAR</v>
          </cell>
          <cell r="G711" t="str">
            <v>พนักงานทั่วไป</v>
          </cell>
        </row>
        <row r="712">
          <cell r="B712">
            <v>6508020</v>
          </cell>
          <cell r="C712" t="str">
            <v>นายเจษฎา  คดเย็น</v>
          </cell>
          <cell r="D712" t="str">
            <v>FMG-A</v>
          </cell>
          <cell r="E712" t="str">
            <v>รายวัน</v>
          </cell>
          <cell r="F712" t="str">
            <v>CAR</v>
          </cell>
          <cell r="G712" t="str">
            <v>พนักงานทั่วไป</v>
          </cell>
        </row>
        <row r="713">
          <cell r="B713" t="str">
            <v>6508021G</v>
          </cell>
          <cell r="C713" t="str">
            <v>นายวันชนะ สีลาเกษ</v>
          </cell>
          <cell r="D713" t="str">
            <v>EXT</v>
          </cell>
          <cell r="E713" t="str">
            <v>รายวัน</v>
          </cell>
          <cell r="F713" t="str">
            <v>Sub Contract</v>
          </cell>
          <cell r="G713" t="str">
            <v>พนักงานทั่วไป</v>
          </cell>
        </row>
        <row r="714">
          <cell r="B714" t="str">
            <v>6508022G</v>
          </cell>
          <cell r="C714" t="str">
            <v>นายณัฐวุฒิ สุริยฉาย</v>
          </cell>
          <cell r="D714" t="str">
            <v>FMG-A</v>
          </cell>
          <cell r="E714" t="str">
            <v>รายวัน</v>
          </cell>
          <cell r="F714" t="str">
            <v>Sub Contract</v>
          </cell>
          <cell r="G714" t="str">
            <v>พนักงานทั่วไป</v>
          </cell>
        </row>
        <row r="715">
          <cell r="B715">
            <v>6508023</v>
          </cell>
          <cell r="C715" t="str">
            <v>นางสาวอัญชลี ทราธร</v>
          </cell>
          <cell r="D715" t="str">
            <v>EN</v>
          </cell>
          <cell r="E715" t="str">
            <v>รายวัน</v>
          </cell>
          <cell r="F715" t="str">
            <v>CAR</v>
          </cell>
          <cell r="G715" t="str">
            <v>พนักงานทั่วไป</v>
          </cell>
        </row>
        <row r="716">
          <cell r="B716">
            <v>6508024</v>
          </cell>
          <cell r="C716" t="str">
            <v>นายอุทัย วรรณสิงห์</v>
          </cell>
          <cell r="D716" t="str">
            <v>FMG-B</v>
          </cell>
          <cell r="E716" t="str">
            <v>รายเดือน</v>
          </cell>
          <cell r="F716" t="str">
            <v>CAR</v>
          </cell>
          <cell r="G716" t="str">
            <v>พนักงานทั่วไป</v>
          </cell>
        </row>
        <row r="717">
          <cell r="B717">
            <v>6508025</v>
          </cell>
          <cell r="C717" t="str">
            <v>นายพงศธร เพ็ชรจันทร์</v>
          </cell>
          <cell r="D717" t="str">
            <v>FMG-B</v>
          </cell>
          <cell r="E717" t="str">
            <v>รายวัน</v>
          </cell>
          <cell r="F717" t="str">
            <v>CAR</v>
          </cell>
          <cell r="G717" t="str">
            <v>พนักงานทั่วไป</v>
          </cell>
        </row>
        <row r="718">
          <cell r="B718">
            <v>6508026</v>
          </cell>
          <cell r="C718" t="str">
            <v>นางสาวสำราญ หนูน้อย</v>
          </cell>
          <cell r="D718" t="str">
            <v>FNG-1</v>
          </cell>
          <cell r="E718" t="str">
            <v>รายวัน</v>
          </cell>
          <cell r="F718" t="str">
            <v>CAR</v>
          </cell>
          <cell r="G718" t="str">
            <v>พนักงานทั่วไป</v>
          </cell>
        </row>
        <row r="719">
          <cell r="B719" t="str">
            <v>6508027G</v>
          </cell>
          <cell r="C719" t="str">
            <v>นางสาวกัญญาวีร์ วันช่วย</v>
          </cell>
          <cell r="D719" t="str">
            <v>FNG-4</v>
          </cell>
          <cell r="E719" t="str">
            <v>รายวัน</v>
          </cell>
          <cell r="F719" t="str">
            <v>Sub Contract</v>
          </cell>
          <cell r="G719" t="str">
            <v>พนักงานทั่วไป</v>
          </cell>
        </row>
        <row r="720">
          <cell r="B720" t="str">
            <v>6508028G</v>
          </cell>
          <cell r="C720" t="str">
            <v>นางสาวอัมพร ทำมา</v>
          </cell>
          <cell r="D720" t="str">
            <v>FNG-4</v>
          </cell>
          <cell r="E720" t="str">
            <v>รายวัน</v>
          </cell>
          <cell r="F720" t="str">
            <v>Sub Contract</v>
          </cell>
          <cell r="G720" t="str">
            <v>พนักงานทั่วไป</v>
          </cell>
        </row>
        <row r="721">
          <cell r="B721">
            <v>6508029</v>
          </cell>
          <cell r="C721" t="str">
            <v>นายกิติพงษ์ ราชสาร</v>
          </cell>
          <cell r="D721" t="str">
            <v>PD</v>
          </cell>
          <cell r="E721" t="str">
            <v>รายเดือน</v>
          </cell>
          <cell r="F721" t="str">
            <v>CAR</v>
          </cell>
          <cell r="G721" t="str">
            <v>หัวหน้าแผนก</v>
          </cell>
        </row>
        <row r="722">
          <cell r="B722">
            <v>6508030</v>
          </cell>
          <cell r="C722" t="str">
            <v>นางสาวสุนทรี ยอดเพชร</v>
          </cell>
          <cell r="D722" t="str">
            <v>QA/QC</v>
          </cell>
          <cell r="E722" t="str">
            <v>รายเดือน</v>
          </cell>
          <cell r="F722" t="str">
            <v>CAR</v>
          </cell>
          <cell r="G722" t="str">
            <v>QC Line</v>
          </cell>
        </row>
        <row r="723">
          <cell r="B723" t="str">
            <v>6508031G</v>
          </cell>
          <cell r="C723" t="str">
            <v>นางสาวสินใจ ธนะบริหาร</v>
          </cell>
          <cell r="D723" t="str">
            <v>FNG-3</v>
          </cell>
          <cell r="E723" t="str">
            <v>รายวัน</v>
          </cell>
          <cell r="F723" t="str">
            <v>Sub Contract</v>
          </cell>
          <cell r="G723" t="str">
            <v>พนักงานทั่วไป</v>
          </cell>
        </row>
        <row r="724">
          <cell r="B724" t="str">
            <v>6508032G</v>
          </cell>
          <cell r="C724" t="str">
            <v>นายไชยวัฒน์ คุชิตา</v>
          </cell>
          <cell r="D724" t="str">
            <v>FMG-B</v>
          </cell>
          <cell r="E724" t="str">
            <v>รายวัน</v>
          </cell>
          <cell r="F724" t="str">
            <v>Sub Contract</v>
          </cell>
          <cell r="G724" t="str">
            <v>พนักงานทั่วไป</v>
          </cell>
        </row>
        <row r="725">
          <cell r="B725" t="str">
            <v>6509001</v>
          </cell>
          <cell r="C725" t="str">
            <v>นายชาคริต เกตุแก้วมณี</v>
          </cell>
          <cell r="D725" t="str">
            <v>HR&amp;GA/ IT</v>
          </cell>
          <cell r="E725" t="str">
            <v>รายเดือน</v>
          </cell>
          <cell r="F725" t="str">
            <v>CAR</v>
          </cell>
          <cell r="G725" t="str">
            <v>เจ้าหน้าที่อาวุโส</v>
          </cell>
        </row>
        <row r="726">
          <cell r="B726">
            <v>6509002</v>
          </cell>
          <cell r="C726" t="str">
            <v>นายนภธนันต์ โชคศรันทิพย์</v>
          </cell>
          <cell r="D726" t="str">
            <v>PD</v>
          </cell>
          <cell r="E726" t="str">
            <v>รายเดือน</v>
          </cell>
          <cell r="F726" t="str">
            <v>CAR</v>
          </cell>
          <cell r="G726" t="str">
            <v>ผู้จัดการแผนก</v>
          </cell>
        </row>
        <row r="727">
          <cell r="B727">
            <v>6509003</v>
          </cell>
          <cell r="C727" t="str">
            <v>นายอรรคเดช ใจเอื้อ</v>
          </cell>
          <cell r="D727" t="str">
            <v>EXT</v>
          </cell>
          <cell r="E727" t="str">
            <v>รายวัน</v>
          </cell>
          <cell r="F727" t="str">
            <v>CAR</v>
          </cell>
          <cell r="G727" t="str">
            <v>พนักงานทั่วไป</v>
          </cell>
        </row>
        <row r="728">
          <cell r="B728">
            <v>6509004</v>
          </cell>
          <cell r="C728" t="str">
            <v>นางสาวพิรุณภรณ์ ทักษิณ</v>
          </cell>
          <cell r="D728" t="str">
            <v>STO</v>
          </cell>
          <cell r="E728" t="str">
            <v>รายวัน</v>
          </cell>
          <cell r="F728" t="str">
            <v>CAR</v>
          </cell>
          <cell r="G728" t="str">
            <v>พนักงานทั่วไป</v>
          </cell>
        </row>
        <row r="729">
          <cell r="B729" t="str">
            <v>6509005G</v>
          </cell>
          <cell r="C729" t="str">
            <v>นายสุวัฒน์ สุรินทรา</v>
          </cell>
          <cell r="D729" t="str">
            <v>FMG-B</v>
          </cell>
          <cell r="E729" t="str">
            <v>รายวัน</v>
          </cell>
          <cell r="F729" t="str">
            <v>Sub Contract</v>
          </cell>
          <cell r="G729" t="str">
            <v>พนักงานทั่วไป</v>
          </cell>
        </row>
        <row r="730">
          <cell r="B730" t="str">
            <v>6509006G</v>
          </cell>
          <cell r="C730" t="str">
            <v>นายปัญญา ไกรงู</v>
          </cell>
          <cell r="D730" t="str">
            <v>FMG-B</v>
          </cell>
          <cell r="E730" t="str">
            <v>รายวัน</v>
          </cell>
          <cell r="F730" t="str">
            <v>Sub Contract</v>
          </cell>
          <cell r="G730" t="str">
            <v>พนักงานทั่วไป</v>
          </cell>
        </row>
        <row r="731">
          <cell r="B731" t="str">
            <v>6509007G</v>
          </cell>
          <cell r="C731" t="str">
            <v>นายวรพจน์ กอคุณกลาง</v>
          </cell>
          <cell r="D731" t="str">
            <v>FMG-B</v>
          </cell>
          <cell r="E731" t="str">
            <v>รายวัน</v>
          </cell>
          <cell r="F731" t="str">
            <v>Sub Contract</v>
          </cell>
          <cell r="G731" t="str">
            <v>พนักงานทั่วไป</v>
          </cell>
        </row>
        <row r="732">
          <cell r="B732" t="str">
            <v>6509008G</v>
          </cell>
          <cell r="C732" t="str">
            <v>นายหัสดี จันทาฟ้าเหลื่อม</v>
          </cell>
          <cell r="D732" t="str">
            <v>FMG-B</v>
          </cell>
          <cell r="E732" t="str">
            <v>รายวัน</v>
          </cell>
          <cell r="F732" t="str">
            <v>Sub Contract</v>
          </cell>
          <cell r="G732" t="str">
            <v>พนักงานทั่วไป</v>
          </cell>
        </row>
        <row r="733">
          <cell r="B733" t="str">
            <v>6509009G</v>
          </cell>
          <cell r="C733" t="str">
            <v>นายวัฒนา เหมมะ</v>
          </cell>
          <cell r="D733" t="str">
            <v>FMG-B</v>
          </cell>
          <cell r="E733" t="str">
            <v>รายวัน</v>
          </cell>
          <cell r="F733" t="str">
            <v>Sub Contract</v>
          </cell>
          <cell r="G733" t="str">
            <v>พนักงานทั่วไป</v>
          </cell>
        </row>
        <row r="734">
          <cell r="B734" t="str">
            <v>6509010G</v>
          </cell>
          <cell r="C734" t="str">
            <v>นายตนุพล พิพัฒน์ผล</v>
          </cell>
          <cell r="D734" t="str">
            <v>FMG-B</v>
          </cell>
          <cell r="E734" t="str">
            <v>รายวัน</v>
          </cell>
          <cell r="F734" t="str">
            <v>Sub Contract</v>
          </cell>
          <cell r="G734" t="str">
            <v>พนักงานทั่วไป</v>
          </cell>
        </row>
        <row r="735">
          <cell r="B735" t="str">
            <v>6509011G</v>
          </cell>
          <cell r="C735" t="str">
            <v>นายสุนันต์ จันทร์เพ็ญ</v>
          </cell>
          <cell r="D735" t="str">
            <v>FMG-B</v>
          </cell>
          <cell r="E735" t="str">
            <v>รายวัน</v>
          </cell>
          <cell r="F735" t="str">
            <v>Sub Contract</v>
          </cell>
          <cell r="G735" t="str">
            <v>พนักงานทั่วไป</v>
          </cell>
        </row>
        <row r="736">
          <cell r="B736">
            <v>6509012</v>
          </cell>
          <cell r="C736" t="str">
            <v>นางสาวนันท์นภัส ชุมสุข</v>
          </cell>
          <cell r="D736" t="str">
            <v>QA/QC</v>
          </cell>
          <cell r="E736" t="str">
            <v>รายเดือน</v>
          </cell>
          <cell r="F736" t="str">
            <v>CAR</v>
          </cell>
          <cell r="G736" t="str">
            <v>QC Line</v>
          </cell>
        </row>
        <row r="737">
          <cell r="B737" t="str">
            <v>6509013G</v>
          </cell>
          <cell r="C737" t="str">
            <v>นายสุริยา สำราญ</v>
          </cell>
          <cell r="D737" t="str">
            <v>FMG-A</v>
          </cell>
          <cell r="E737" t="str">
            <v>รายวัน</v>
          </cell>
          <cell r="F737" t="str">
            <v>Sub Contract</v>
          </cell>
          <cell r="G737" t="str">
            <v>พนักงานทั่วไป</v>
          </cell>
        </row>
        <row r="738">
          <cell r="B738" t="str">
            <v>6509014G</v>
          </cell>
          <cell r="C738" t="str">
            <v>นายอดิศร สีสองเมือง</v>
          </cell>
          <cell r="D738" t="str">
            <v>FMG-A</v>
          </cell>
          <cell r="E738" t="str">
            <v>รายวัน</v>
          </cell>
          <cell r="F738" t="str">
            <v>Sub Contract</v>
          </cell>
          <cell r="G738" t="str">
            <v>พนักงานทั่วไป</v>
          </cell>
        </row>
        <row r="739">
          <cell r="B739">
            <v>6509015</v>
          </cell>
          <cell r="C739" t="str">
            <v>นางสาวธันย์ณภัทร หาญเวช</v>
          </cell>
          <cell r="D739" t="str">
            <v>MK</v>
          </cell>
          <cell r="E739" t="str">
            <v>รายเดือน</v>
          </cell>
          <cell r="F739" t="str">
            <v>CAR</v>
          </cell>
          <cell r="G739" t="str">
            <v>Sales Executive</v>
          </cell>
        </row>
        <row r="740">
          <cell r="B740" t="str">
            <v>6509016</v>
          </cell>
          <cell r="C740" t="str">
            <v>นางสาวเบญจวรรณ สิทธิโชติ</v>
          </cell>
          <cell r="D740" t="str">
            <v>PC</v>
          </cell>
          <cell r="E740" t="str">
            <v>รายเดือน</v>
          </cell>
          <cell r="F740" t="str">
            <v>CAR</v>
          </cell>
          <cell r="G740" t="str">
            <v>เจ้าหน้าที่อาวุโส</v>
          </cell>
        </row>
        <row r="741">
          <cell r="B741">
            <v>6509017</v>
          </cell>
          <cell r="C741" t="str">
            <v>นางสาวเบญจวรรณ สิทธิโชติ</v>
          </cell>
          <cell r="D741" t="str">
            <v>PD</v>
          </cell>
          <cell r="E741" t="str">
            <v>รายเดือน</v>
          </cell>
          <cell r="F741" t="str">
            <v>CAR</v>
          </cell>
          <cell r="G741" t="str">
            <v>หัวหน้าหน่วย</v>
          </cell>
        </row>
        <row r="742">
          <cell r="B742">
            <v>6509018</v>
          </cell>
          <cell r="C742" t="str">
            <v>นางสาวปริญญา สุดตาชาติ</v>
          </cell>
          <cell r="D742" t="str">
            <v>FNG-1</v>
          </cell>
          <cell r="E742" t="str">
            <v>รายวัน</v>
          </cell>
          <cell r="F742" t="str">
            <v>CAR</v>
          </cell>
          <cell r="G742" t="str">
            <v>พนักงานทั่วไป</v>
          </cell>
        </row>
        <row r="743">
          <cell r="B743">
            <v>6509019</v>
          </cell>
          <cell r="C743" t="str">
            <v>นางสาวอรพรรณ ปินใจ</v>
          </cell>
          <cell r="D743" t="str">
            <v>QA/QC</v>
          </cell>
          <cell r="E743" t="str">
            <v>รายเดือน</v>
          </cell>
          <cell r="F743" t="str">
            <v>CAR</v>
          </cell>
          <cell r="G743" t="str">
            <v>QC-Line</v>
          </cell>
        </row>
        <row r="744">
          <cell r="B744">
            <v>6509020</v>
          </cell>
          <cell r="C744" t="str">
            <v>นายยุทธนา ภูสถิตย์</v>
          </cell>
          <cell r="D744" t="str">
            <v>FMG-A</v>
          </cell>
          <cell r="E744" t="str">
            <v>รายวัน</v>
          </cell>
          <cell r="F744" t="str">
            <v>CAR</v>
          </cell>
          <cell r="G744" t="str">
            <v>พนักงานทั่วไป</v>
          </cell>
        </row>
        <row r="745">
          <cell r="B745">
            <v>6509021</v>
          </cell>
          <cell r="C745" t="str">
            <v>นางสาวศุจินธร  ศรีบุญ</v>
          </cell>
          <cell r="D745" t="str">
            <v>FNG-3</v>
          </cell>
          <cell r="E745" t="str">
            <v>รายวัน</v>
          </cell>
          <cell r="F745" t="str">
            <v>CAR</v>
          </cell>
          <cell r="G745" t="str">
            <v>พนักงานทั่วไป</v>
          </cell>
        </row>
        <row r="746">
          <cell r="B746">
            <v>6509022</v>
          </cell>
          <cell r="C746" t="str">
            <v>นางสาวชลธิชา สมศรี</v>
          </cell>
          <cell r="D746" t="str">
            <v>FNG-4</v>
          </cell>
          <cell r="E746" t="str">
            <v>รายวัน</v>
          </cell>
          <cell r="F746" t="str">
            <v>CAR</v>
          </cell>
          <cell r="G746" t="str">
            <v>พนักงานทั่วไป</v>
          </cell>
        </row>
        <row r="747">
          <cell r="B747">
            <v>6509023</v>
          </cell>
          <cell r="C747" t="str">
            <v>นายอานนท์ เครือเนตร</v>
          </cell>
          <cell r="D747" t="str">
            <v>FMG-B</v>
          </cell>
          <cell r="E747" t="str">
            <v>รายวัน</v>
          </cell>
          <cell r="F747" t="str">
            <v>CAR</v>
          </cell>
          <cell r="G747" t="str">
            <v>พนักงานทั่วไป</v>
          </cell>
        </row>
        <row r="748">
          <cell r="B748">
            <v>6509024</v>
          </cell>
          <cell r="C748" t="str">
            <v>นายสุรศิลป์ โพธิจักร์</v>
          </cell>
          <cell r="D748" t="str">
            <v>FMG-B</v>
          </cell>
          <cell r="E748" t="str">
            <v>รายวัน</v>
          </cell>
          <cell r="F748" t="str">
            <v>CAR</v>
          </cell>
          <cell r="G748" t="str">
            <v>พนักงานทั่วไป</v>
          </cell>
        </row>
        <row r="749">
          <cell r="B749">
            <v>6509025</v>
          </cell>
          <cell r="C749" t="str">
            <v>นายสุพิศชัย รักษาเมือง</v>
          </cell>
          <cell r="D749" t="str">
            <v>FMG-B</v>
          </cell>
          <cell r="E749" t="str">
            <v>รายวัน</v>
          </cell>
          <cell r="F749" t="str">
            <v>CAR</v>
          </cell>
          <cell r="G749" t="str">
            <v>พนักงานทั่วไป</v>
          </cell>
        </row>
        <row r="750">
          <cell r="B750">
            <v>6509026</v>
          </cell>
          <cell r="C750" t="str">
            <v>นายสิงขร นวลสาหร่าย</v>
          </cell>
          <cell r="D750" t="str">
            <v>FMG-B</v>
          </cell>
          <cell r="E750" t="str">
            <v>รายวัน</v>
          </cell>
          <cell r="F750" t="str">
            <v>CAR</v>
          </cell>
          <cell r="G750" t="str">
            <v>พนักงานทั่วไป</v>
          </cell>
        </row>
        <row r="751">
          <cell r="B751">
            <v>6509027</v>
          </cell>
          <cell r="C751" t="str">
            <v>นางสาวอทิตยา นวลสาหร่าย</v>
          </cell>
          <cell r="D751" t="str">
            <v>FNG-3</v>
          </cell>
          <cell r="E751" t="str">
            <v>รายวัน</v>
          </cell>
          <cell r="F751" t="str">
            <v>CAR</v>
          </cell>
          <cell r="G751" t="str">
            <v>พนักงานทั่วไป</v>
          </cell>
        </row>
        <row r="752">
          <cell r="B752">
            <v>6509028</v>
          </cell>
          <cell r="C752" t="str">
            <v>นางสาวพจมาน ภูสมหมาย</v>
          </cell>
          <cell r="D752" t="str">
            <v>STO</v>
          </cell>
          <cell r="E752" t="str">
            <v>รายวัน</v>
          </cell>
          <cell r="F752" t="str">
            <v>CAR</v>
          </cell>
          <cell r="G752" t="str">
            <v>พนักงานทั่วไป</v>
          </cell>
        </row>
        <row r="753">
          <cell r="B753" t="str">
            <v>6509029G</v>
          </cell>
          <cell r="C753" t="str">
            <v>นายประยุทธ อุทธี</v>
          </cell>
          <cell r="D753" t="str">
            <v>FMG-B</v>
          </cell>
          <cell r="E753" t="str">
            <v>รายวัน</v>
          </cell>
          <cell r="F753" t="str">
            <v>Sub Contract</v>
          </cell>
          <cell r="G753" t="str">
            <v>พนักงานทั่วไป</v>
          </cell>
        </row>
        <row r="754">
          <cell r="B754">
            <v>6510001</v>
          </cell>
          <cell r="C754" t="str">
            <v>นายกณวรรธน์ ไชยรินทร</v>
          </cell>
          <cell r="D754" t="str">
            <v>FMG-B</v>
          </cell>
          <cell r="E754" t="str">
            <v>รายวัน</v>
          </cell>
          <cell r="F754" t="str">
            <v>CAR</v>
          </cell>
          <cell r="G754" t="str">
            <v>พนักงานทั่วไป</v>
          </cell>
        </row>
        <row r="755">
          <cell r="B755">
            <v>6510002</v>
          </cell>
          <cell r="C755" t="str">
            <v>นายคนัสนันท์ ปิ่นทอง</v>
          </cell>
          <cell r="D755" t="str">
            <v>FMG-B</v>
          </cell>
          <cell r="E755" t="str">
            <v>รายวัน</v>
          </cell>
          <cell r="F755" t="str">
            <v>CAR</v>
          </cell>
          <cell r="G755" t="str">
            <v>พนักงานทั่วไป</v>
          </cell>
        </row>
        <row r="756">
          <cell r="B756" t="str">
            <v>6510003</v>
          </cell>
          <cell r="C756" t="str">
            <v>นางสาวปราถนา เสาร์พิรส</v>
          </cell>
          <cell r="D756" t="str">
            <v>FNG-2</v>
          </cell>
          <cell r="E756" t="str">
            <v>รายเดือน</v>
          </cell>
          <cell r="F756" t="str">
            <v>CAR</v>
          </cell>
          <cell r="G756" t="str">
            <v>พนักงานทั่วไป</v>
          </cell>
        </row>
        <row r="757">
          <cell r="B757">
            <v>6510004</v>
          </cell>
          <cell r="C757" t="str">
            <v>นางสาวญาณนันท์ กิจอภินันท์</v>
          </cell>
          <cell r="D757" t="str">
            <v>QA/QC</v>
          </cell>
          <cell r="E757" t="str">
            <v>รายเดือน</v>
          </cell>
          <cell r="F757" t="str">
            <v>CAR</v>
          </cell>
          <cell r="G757" t="str">
            <v>QC Line</v>
          </cell>
        </row>
        <row r="758">
          <cell r="B758" t="str">
            <v>6510005S</v>
          </cell>
          <cell r="C758" t="str">
            <v>นางสาวศิริญาพร เชื้อบุญมา</v>
          </cell>
          <cell r="D758" t="str">
            <v>MT</v>
          </cell>
          <cell r="E758" t="str">
            <v>รายวัน</v>
          </cell>
          <cell r="F758" t="str">
            <v>Trainees</v>
          </cell>
          <cell r="G758" t="str">
            <v>พนักงานทั่วไป</v>
          </cell>
        </row>
        <row r="759">
          <cell r="B759" t="str">
            <v>6510006S</v>
          </cell>
          <cell r="C759" t="str">
            <v>นายกิตติพงษ์ แก้วมูลตรี</v>
          </cell>
          <cell r="D759" t="str">
            <v>EN</v>
          </cell>
          <cell r="E759" t="str">
            <v>รายวัน</v>
          </cell>
          <cell r="F759" t="str">
            <v>Trainees</v>
          </cell>
          <cell r="G759" t="str">
            <v>พนักงานทั่วไป</v>
          </cell>
        </row>
        <row r="760">
          <cell r="B760" t="str">
            <v>6510007G</v>
          </cell>
          <cell r="C760" t="str">
            <v>นายสุรพล หมายเลิศหล้า</v>
          </cell>
          <cell r="D760" t="str">
            <v>FMG-B</v>
          </cell>
          <cell r="E760" t="str">
            <v>รายวัน</v>
          </cell>
          <cell r="F760" t="str">
            <v>Sub Contract</v>
          </cell>
          <cell r="G760" t="str">
            <v>พนักงานทั่วไป</v>
          </cell>
        </row>
        <row r="761">
          <cell r="B761" t="str">
            <v>6510008G</v>
          </cell>
          <cell r="C761" t="str">
            <v>นายทศพล ปัญญาเหลือ</v>
          </cell>
          <cell r="D761" t="str">
            <v>FMG-B</v>
          </cell>
          <cell r="E761" t="str">
            <v>รายวัน</v>
          </cell>
          <cell r="F761" t="str">
            <v>Sub Contract</v>
          </cell>
          <cell r="G761" t="str">
            <v>พนักงานทั่วไป</v>
          </cell>
        </row>
        <row r="762">
          <cell r="B762" t="str">
            <v>6510009G</v>
          </cell>
          <cell r="C762" t="str">
            <v>นายจักรกฤษณ์ แสงสุข</v>
          </cell>
          <cell r="D762" t="str">
            <v>FMG-B</v>
          </cell>
          <cell r="E762" t="str">
            <v>รายวัน</v>
          </cell>
          <cell r="F762" t="str">
            <v>Sub Contract</v>
          </cell>
          <cell r="G762" t="str">
            <v>พนักงานทั่วไป</v>
          </cell>
        </row>
        <row r="763">
          <cell r="B763">
            <v>6510010</v>
          </cell>
          <cell r="C763" t="str">
            <v>นายชโนดม ละยศ</v>
          </cell>
          <cell r="D763" t="str">
            <v>FMG-B</v>
          </cell>
          <cell r="E763" t="str">
            <v>รายวัน</v>
          </cell>
          <cell r="F763" t="str">
            <v>CAR</v>
          </cell>
          <cell r="G763" t="str">
            <v>พนักงานทั่วไป</v>
          </cell>
        </row>
        <row r="764">
          <cell r="B764">
            <v>6510011</v>
          </cell>
          <cell r="C764" t="str">
            <v>นายพรนิวัฒน์ วรรณสิงห์</v>
          </cell>
          <cell r="D764" t="str">
            <v>STO</v>
          </cell>
          <cell r="E764" t="str">
            <v>รายวัน</v>
          </cell>
          <cell r="F764" t="str">
            <v>CAR</v>
          </cell>
          <cell r="G764" t="str">
            <v>พนักงานทั่วไป</v>
          </cell>
        </row>
        <row r="765">
          <cell r="B765">
            <v>6510012</v>
          </cell>
          <cell r="C765" t="str">
            <v>นายณัฐพงษ์ แสงสุริย์</v>
          </cell>
          <cell r="D765" t="str">
            <v>EXT</v>
          </cell>
          <cell r="E765" t="str">
            <v>รายวัน</v>
          </cell>
          <cell r="F765" t="str">
            <v>CAR</v>
          </cell>
          <cell r="G765" t="str">
            <v>พนักงานทั่วไป</v>
          </cell>
        </row>
        <row r="766">
          <cell r="B766">
            <v>6510013</v>
          </cell>
          <cell r="C766" t="str">
            <v>นายกฤษณ ชูรี</v>
          </cell>
          <cell r="D766" t="str">
            <v>FMG-B</v>
          </cell>
          <cell r="E766" t="str">
            <v>รายวัน</v>
          </cell>
          <cell r="F766" t="str">
            <v>CAR</v>
          </cell>
          <cell r="G766" t="str">
            <v>พนักงานทั่วไป</v>
          </cell>
        </row>
        <row r="767">
          <cell r="B767">
            <v>6510014</v>
          </cell>
          <cell r="C767" t="str">
            <v>นายนที ศรีชล</v>
          </cell>
          <cell r="D767" t="str">
            <v>FMG-B</v>
          </cell>
          <cell r="E767" t="str">
            <v>รายวัน</v>
          </cell>
          <cell r="F767" t="str">
            <v>CAR</v>
          </cell>
          <cell r="G767" t="str">
            <v>พนักงานทั่วไป</v>
          </cell>
        </row>
        <row r="768">
          <cell r="B768">
            <v>6510015</v>
          </cell>
          <cell r="C768" t="str">
            <v>นายภาณุวัฒน์ จารัตน์</v>
          </cell>
          <cell r="D768" t="str">
            <v>FMG-B</v>
          </cell>
          <cell r="E768" t="str">
            <v>รายวัน</v>
          </cell>
          <cell r="F768" t="str">
            <v>CAR</v>
          </cell>
          <cell r="G768" t="str">
            <v>พนักงานทั่วไป</v>
          </cell>
        </row>
        <row r="769">
          <cell r="B769" t="str">
            <v>6510016G</v>
          </cell>
          <cell r="C769" t="str">
            <v>นายกิตติศักดิ์ พันธุ์พร้อม</v>
          </cell>
          <cell r="D769" t="str">
            <v>MIX</v>
          </cell>
          <cell r="E769" t="str">
            <v>รายวัน</v>
          </cell>
          <cell r="F769" t="str">
            <v>Sub Contract</v>
          </cell>
          <cell r="G769" t="str">
            <v>พนักงานทั่วไป</v>
          </cell>
        </row>
        <row r="770">
          <cell r="B770" t="str">
            <v>6510017G</v>
          </cell>
          <cell r="C770" t="str">
            <v>นายพรชัย เชยสุวรรณ</v>
          </cell>
          <cell r="D770" t="str">
            <v>FMG-B</v>
          </cell>
          <cell r="E770" t="str">
            <v>รายวัน</v>
          </cell>
          <cell r="F770" t="str">
            <v>Sub Contract</v>
          </cell>
          <cell r="G770" t="str">
            <v>พนักงานทั่วไป</v>
          </cell>
        </row>
        <row r="771">
          <cell r="B771">
            <v>6510018</v>
          </cell>
          <cell r="C771" t="str">
            <v>นายอภิชาติ หวานชิต</v>
          </cell>
          <cell r="D771" t="str">
            <v>FMG-B</v>
          </cell>
          <cell r="E771" t="str">
            <v>รายวัน</v>
          </cell>
          <cell r="F771" t="str">
            <v>CAR</v>
          </cell>
          <cell r="G771" t="str">
            <v>พนักงานทั่วไป</v>
          </cell>
        </row>
        <row r="772">
          <cell r="B772">
            <v>6510020</v>
          </cell>
          <cell r="C772" t="str">
            <v>นายกิติพงษ์ ซอยรัมย์</v>
          </cell>
          <cell r="D772" t="str">
            <v>FMG-B</v>
          </cell>
          <cell r="E772" t="str">
            <v>รายวัน</v>
          </cell>
          <cell r="F772" t="str">
            <v>CAR</v>
          </cell>
          <cell r="G772" t="str">
            <v>พนักงานทั่วไป</v>
          </cell>
        </row>
        <row r="773">
          <cell r="B773">
            <v>6510021</v>
          </cell>
          <cell r="C773" t="str">
            <v>นางสาวมณีนารถ บุญเผย</v>
          </cell>
          <cell r="D773" t="str">
            <v>STO</v>
          </cell>
          <cell r="E773" t="str">
            <v>รายวัน</v>
          </cell>
          <cell r="F773" t="str">
            <v>CAR</v>
          </cell>
          <cell r="G773" t="str">
            <v>พนักงานทั่วไป</v>
          </cell>
        </row>
        <row r="774">
          <cell r="B774" t="str">
            <v>6511001S</v>
          </cell>
          <cell r="C774" t="str">
            <v>นายยุทธยา หันจรูญ</v>
          </cell>
          <cell r="D774" t="str">
            <v>STO</v>
          </cell>
          <cell r="E774" t="str">
            <v>รายวัน</v>
          </cell>
          <cell r="F774" t="str">
            <v>Trainees</v>
          </cell>
          <cell r="G774" t="str">
            <v>นักศึกษาฝึกงาน</v>
          </cell>
        </row>
        <row r="775">
          <cell r="B775" t="str">
            <v>6511002S</v>
          </cell>
          <cell r="C775" t="str">
            <v>นายภานุพงศ์ แก้วจันดา</v>
          </cell>
          <cell r="D775" t="str">
            <v>MIX</v>
          </cell>
          <cell r="E775" t="str">
            <v>รายวัน</v>
          </cell>
          <cell r="F775" t="str">
            <v>Trainees</v>
          </cell>
          <cell r="G775" t="str">
            <v>นักศึกษาฝึกงาน</v>
          </cell>
        </row>
        <row r="776">
          <cell r="B776" t="str">
            <v>6511003S</v>
          </cell>
          <cell r="C776" t="str">
            <v>นายนันทกร แท่นศรีลา</v>
          </cell>
          <cell r="D776" t="str">
            <v>EXT</v>
          </cell>
          <cell r="E776" t="str">
            <v>รายวัน</v>
          </cell>
          <cell r="F776" t="str">
            <v>Trainees</v>
          </cell>
          <cell r="G776" t="str">
            <v>นักศึกษาฝึกงาน</v>
          </cell>
        </row>
        <row r="777">
          <cell r="B777" t="str">
            <v>6511004S</v>
          </cell>
          <cell r="C777" t="str">
            <v>นายณรงค์พร ฐิติกุลเตชาวัฒน์</v>
          </cell>
          <cell r="D777" t="str">
            <v>CUT</v>
          </cell>
          <cell r="E777" t="str">
            <v>รายวัน</v>
          </cell>
          <cell r="F777" t="str">
            <v>Trainees</v>
          </cell>
          <cell r="G777" t="str">
            <v>นักศึกษาฝึกงาน</v>
          </cell>
        </row>
        <row r="778">
          <cell r="B778" t="str">
            <v>6511005S</v>
          </cell>
          <cell r="C778" t="str">
            <v>นายวีรภัทร บุญพันธ์</v>
          </cell>
          <cell r="D778" t="str">
            <v>STO</v>
          </cell>
          <cell r="E778" t="str">
            <v>รายวัน</v>
          </cell>
          <cell r="F778" t="str">
            <v>Trainees</v>
          </cell>
          <cell r="G778" t="str">
            <v>นักศึกษาฝึกงาน</v>
          </cell>
        </row>
        <row r="779">
          <cell r="B779" t="str">
            <v>6511006S</v>
          </cell>
          <cell r="C779" t="str">
            <v>นายณัฐวัฒน์ กันนิดา</v>
          </cell>
          <cell r="D779" t="str">
            <v>FMG-B</v>
          </cell>
          <cell r="E779" t="str">
            <v>รายวัน</v>
          </cell>
          <cell r="F779" t="str">
            <v>Trainees</v>
          </cell>
          <cell r="G779" t="str">
            <v>นักศึกษาฝึกงาน</v>
          </cell>
        </row>
        <row r="780">
          <cell r="B780" t="str">
            <v>6511007S</v>
          </cell>
          <cell r="C780" t="str">
            <v>นายรุ่งสุวรรณ เสน่หา</v>
          </cell>
          <cell r="D780" t="str">
            <v>EN</v>
          </cell>
          <cell r="E780" t="str">
            <v>รายวัน</v>
          </cell>
          <cell r="F780" t="str">
            <v>Trainees</v>
          </cell>
          <cell r="G780" t="str">
            <v>นักศึกษาฝึกงาน</v>
          </cell>
        </row>
        <row r="781">
          <cell r="B781" t="str">
            <v>6511008S</v>
          </cell>
          <cell r="C781" t="str">
            <v>นายธนพล วรยศ</v>
          </cell>
          <cell r="D781" t="str">
            <v>FMG-B</v>
          </cell>
          <cell r="E781" t="str">
            <v>รายวัน</v>
          </cell>
          <cell r="F781" t="str">
            <v>Trainees</v>
          </cell>
          <cell r="G781" t="str">
            <v>นักศึกษาฝึกงาน</v>
          </cell>
        </row>
        <row r="782">
          <cell r="B782">
            <v>6511009</v>
          </cell>
          <cell r="C782" t="str">
            <v>นางสาวสุริวิภา เกนอก</v>
          </cell>
          <cell r="D782" t="str">
            <v>FNG-3</v>
          </cell>
          <cell r="E782" t="str">
            <v>รายวัน</v>
          </cell>
          <cell r="F782" t="str">
            <v>CAR</v>
          </cell>
          <cell r="G782" t="str">
            <v>พนักงานทั่วไป</v>
          </cell>
        </row>
        <row r="783">
          <cell r="B783">
            <v>6511010</v>
          </cell>
          <cell r="C783" t="str">
            <v>นางสาวลภัสรดา คุ้มพงษ์</v>
          </cell>
          <cell r="D783" t="str">
            <v>FNG-4</v>
          </cell>
          <cell r="E783" t="str">
            <v>รายวัน</v>
          </cell>
          <cell r="F783" t="str">
            <v>CAR</v>
          </cell>
          <cell r="G783" t="str">
            <v>พนักงานทั่วไป</v>
          </cell>
        </row>
        <row r="784">
          <cell r="B784">
            <v>6511011</v>
          </cell>
          <cell r="C784" t="str">
            <v>นายนนทพัทธ์ โพธิ์จันทร์</v>
          </cell>
          <cell r="D784" t="str">
            <v>FMG-B</v>
          </cell>
          <cell r="E784" t="str">
            <v>รายเดือน</v>
          </cell>
          <cell r="F784" t="str">
            <v>CAR</v>
          </cell>
          <cell r="G784" t="str">
            <v>set up mold</v>
          </cell>
        </row>
        <row r="785">
          <cell r="B785" t="str">
            <v>6511012</v>
          </cell>
          <cell r="C785" t="str">
            <v>นายประกายเพชร คำแก้ว</v>
          </cell>
          <cell r="D785" t="str">
            <v>PD</v>
          </cell>
          <cell r="E785" t="str">
            <v>รายเดือน</v>
          </cell>
          <cell r="F785" t="str">
            <v>CAR</v>
          </cell>
          <cell r="G785" t="str">
            <v>พนักงานทั่วไป</v>
          </cell>
        </row>
        <row r="786">
          <cell r="B786">
            <v>6511013</v>
          </cell>
          <cell r="C786" t="str">
            <v>นายอุทัย มุมทอง</v>
          </cell>
          <cell r="D786" t="str">
            <v>FMG-A</v>
          </cell>
          <cell r="E786" t="str">
            <v>รายวัน</v>
          </cell>
          <cell r="F786" t="str">
            <v>CAR</v>
          </cell>
          <cell r="G786" t="str">
            <v>พนักงานทั่วไป</v>
          </cell>
        </row>
        <row r="787">
          <cell r="B787" t="str">
            <v>6511014G</v>
          </cell>
          <cell r="C787" t="str">
            <v>นายพิจิตร เฉียบแหลม</v>
          </cell>
          <cell r="D787" t="str">
            <v>FMG-A</v>
          </cell>
          <cell r="E787" t="str">
            <v>รายวัน</v>
          </cell>
          <cell r="F787" t="str">
            <v>Sub Contract</v>
          </cell>
          <cell r="G787" t="str">
            <v>พนักงานทั่วไป</v>
          </cell>
        </row>
        <row r="788">
          <cell r="B788">
            <v>6511015</v>
          </cell>
          <cell r="C788" t="str">
            <v>นางสาวอรัญญา กระจ่างกุล</v>
          </cell>
          <cell r="D788" t="str">
            <v>FNG-6</v>
          </cell>
          <cell r="E788" t="str">
            <v>รายวัน</v>
          </cell>
          <cell r="F788" t="str">
            <v>CAR</v>
          </cell>
          <cell r="G788" t="str">
            <v>พนักงานทั่วไป</v>
          </cell>
        </row>
        <row r="789">
          <cell r="B789">
            <v>6511016</v>
          </cell>
          <cell r="C789" t="str">
            <v>นายณัฐพงศ์ พิลาฤทธิ์</v>
          </cell>
          <cell r="D789" t="str">
            <v>FMG-A</v>
          </cell>
          <cell r="E789" t="str">
            <v>รายวัน</v>
          </cell>
          <cell r="F789" t="str">
            <v>CAR</v>
          </cell>
          <cell r="G789" t="str">
            <v>พนักงานทั่วไป</v>
          </cell>
        </row>
        <row r="790">
          <cell r="B790">
            <v>6511017</v>
          </cell>
          <cell r="C790" t="str">
            <v>นางสาวสุลาวัลย์ ประจิมทิศ</v>
          </cell>
          <cell r="D790" t="str">
            <v>EXT</v>
          </cell>
          <cell r="E790" t="str">
            <v>รายวัน</v>
          </cell>
          <cell r="F790" t="str">
            <v>CAR</v>
          </cell>
          <cell r="G790" t="str">
            <v>พนักงานทั่วไป</v>
          </cell>
        </row>
        <row r="791">
          <cell r="B791">
            <v>6511018</v>
          </cell>
          <cell r="C791" t="str">
            <v>นางสาวชุติตา แก้วคำ</v>
          </cell>
          <cell r="D791" t="str">
            <v>FNG-4</v>
          </cell>
          <cell r="E791" t="str">
            <v>รายวัน</v>
          </cell>
          <cell r="F791" t="str">
            <v>CAR</v>
          </cell>
          <cell r="G791" t="str">
            <v>พนักงานทั่วไป</v>
          </cell>
        </row>
        <row r="792">
          <cell r="B792">
            <v>6511019</v>
          </cell>
          <cell r="C792" t="str">
            <v>นางสาวพนิดา สีเขียว</v>
          </cell>
          <cell r="D792" t="str">
            <v>FNG-3</v>
          </cell>
          <cell r="E792" t="str">
            <v>รายวัน</v>
          </cell>
          <cell r="F792" t="str">
            <v>CAR</v>
          </cell>
          <cell r="G792" t="str">
            <v>พนักงานทั่วไป</v>
          </cell>
        </row>
        <row r="793">
          <cell r="B793" t="str">
            <v>6511020G</v>
          </cell>
          <cell r="C793" t="str">
            <v>นายเอกลักษณ์ ริดตา</v>
          </cell>
          <cell r="D793" t="str">
            <v>FMG-B</v>
          </cell>
          <cell r="E793" t="str">
            <v>รายวัน</v>
          </cell>
          <cell r="F793" t="str">
            <v>Sub Contract</v>
          </cell>
          <cell r="G793" t="str">
            <v>พนักงานทั่วไป</v>
          </cell>
        </row>
        <row r="794">
          <cell r="B794" t="str">
            <v>6511021G</v>
          </cell>
          <cell r="C794" t="str">
            <v>นายธนชาติ บุตรฉิม</v>
          </cell>
          <cell r="D794" t="str">
            <v>FMG-B</v>
          </cell>
          <cell r="E794" t="str">
            <v>รายวัน</v>
          </cell>
          <cell r="F794" t="str">
            <v>Sub Contract</v>
          </cell>
          <cell r="G794" t="str">
            <v>พนักงานทั่วไป</v>
          </cell>
        </row>
        <row r="795">
          <cell r="B795" t="str">
            <v>6511022</v>
          </cell>
          <cell r="C795" t="str">
            <v>นายอนุวัฒน์ ทองไสล</v>
          </cell>
          <cell r="D795" t="str">
            <v>FMG-B</v>
          </cell>
          <cell r="E795" t="str">
            <v>รายเดือน</v>
          </cell>
          <cell r="F795" t="str">
            <v>CAR</v>
          </cell>
          <cell r="G795" t="str">
            <v>พนักงานทั่วไป</v>
          </cell>
        </row>
        <row r="796">
          <cell r="B796">
            <v>6511023</v>
          </cell>
          <cell r="C796" t="str">
            <v>นางรัศมี ขุมทรัพย์</v>
          </cell>
          <cell r="D796" t="str">
            <v>FNG-2</v>
          </cell>
          <cell r="E796" t="str">
            <v>รายวัน</v>
          </cell>
          <cell r="F796" t="str">
            <v>CAR</v>
          </cell>
          <cell r="G796" t="str">
            <v>พนักงานทั่วไป</v>
          </cell>
        </row>
        <row r="797">
          <cell r="B797">
            <v>6511024</v>
          </cell>
          <cell r="C797" t="str">
            <v>นางสาวอคิราภ์ ยอดคำตัน</v>
          </cell>
          <cell r="D797" t="str">
            <v>STO</v>
          </cell>
          <cell r="E797" t="str">
            <v>รายวัน</v>
          </cell>
          <cell r="F797" t="str">
            <v>CAR</v>
          </cell>
          <cell r="G797" t="str">
            <v>พนักงานทั่วไป</v>
          </cell>
        </row>
        <row r="798">
          <cell r="B798">
            <v>6511025</v>
          </cell>
          <cell r="C798" t="str">
            <v>นางสาวกาญจนา ศรีวิชัย</v>
          </cell>
          <cell r="D798" t="str">
            <v>FNG-4</v>
          </cell>
          <cell r="E798" t="str">
            <v>รายวัน</v>
          </cell>
          <cell r="F798" t="str">
            <v>CAR</v>
          </cell>
          <cell r="G798" t="str">
            <v>พนักงานทั่วไป</v>
          </cell>
        </row>
        <row r="799">
          <cell r="B799">
            <v>6511026</v>
          </cell>
          <cell r="C799" t="str">
            <v>ว่าที่ ร.ต.ปริญญา โคหาจักร</v>
          </cell>
          <cell r="D799" t="str">
            <v>EN</v>
          </cell>
          <cell r="E799" t="str">
            <v>รายเดือน</v>
          </cell>
          <cell r="F799" t="str">
            <v>CAR</v>
          </cell>
          <cell r="G799" t="str">
            <v>ผู้จัดการแผนก</v>
          </cell>
        </row>
        <row r="800">
          <cell r="B800">
            <v>6511027</v>
          </cell>
          <cell r="C800" t="str">
            <v>นางสาวจุฑามาศ อินทะสอน</v>
          </cell>
          <cell r="D800" t="str">
            <v>FNG-6</v>
          </cell>
          <cell r="E800" t="str">
            <v>รายวัน</v>
          </cell>
          <cell r="F800" t="str">
            <v>CAR</v>
          </cell>
          <cell r="G800" t="str">
            <v>พนักงานทั่วไป</v>
          </cell>
        </row>
        <row r="801">
          <cell r="B801">
            <v>6512001</v>
          </cell>
          <cell r="C801" t="str">
            <v>นางสาวชลดา อนุศาสตร์</v>
          </cell>
          <cell r="D801" t="str">
            <v>FNG-2</v>
          </cell>
          <cell r="E801" t="str">
            <v>รายวัน</v>
          </cell>
          <cell r="F801" t="str">
            <v>CAR</v>
          </cell>
          <cell r="G801" t="str">
            <v>พนักงานทั่วไป</v>
          </cell>
        </row>
        <row r="802">
          <cell r="B802">
            <v>6502002</v>
          </cell>
          <cell r="C802" t="str">
            <v>นางสาวกัญญาภัทร ปิ่นเอก</v>
          </cell>
          <cell r="D802" t="str">
            <v>FNG-4</v>
          </cell>
          <cell r="E802" t="str">
            <v>รายวัน</v>
          </cell>
          <cell r="F802" t="str">
            <v>CAR</v>
          </cell>
          <cell r="G802" t="str">
            <v>พนักงานทั่วไป</v>
          </cell>
        </row>
        <row r="803">
          <cell r="B803" t="str">
            <v>6492003U</v>
          </cell>
          <cell r="C803" t="str">
            <v>นายอุรพงค์ บุญไกร</v>
          </cell>
          <cell r="D803" t="str">
            <v>FMG-B</v>
          </cell>
          <cell r="E803" t="str">
            <v>รายวัน</v>
          </cell>
          <cell r="F803" t="str">
            <v>Sub Contract</v>
          </cell>
          <cell r="G803" t="str">
            <v>พนักงานทั่วไป</v>
          </cell>
        </row>
        <row r="804">
          <cell r="B804" t="str">
            <v>6482004U</v>
          </cell>
          <cell r="C804" t="str">
            <v>นายมงคล ลาดหนองขุ่น</v>
          </cell>
          <cell r="D804" t="str">
            <v>FMG-B</v>
          </cell>
          <cell r="E804" t="str">
            <v>รายวัน</v>
          </cell>
          <cell r="F804" t="str">
            <v>Sub Contract</v>
          </cell>
          <cell r="G804" t="str">
            <v>พนักงานทั่วไป</v>
          </cell>
        </row>
        <row r="805">
          <cell r="B805" t="str">
            <v>6472005U</v>
          </cell>
          <cell r="C805" t="str">
            <v>นายสุริยา นังกะทา</v>
          </cell>
          <cell r="D805" t="str">
            <v>FMG-B</v>
          </cell>
          <cell r="E805" t="str">
            <v>รายวัน</v>
          </cell>
          <cell r="F805" t="str">
            <v>Sub Contract</v>
          </cell>
          <cell r="G805" t="str">
            <v>พนักงานทั่วไป</v>
          </cell>
        </row>
        <row r="806">
          <cell r="B806" t="str">
            <v>6462006K</v>
          </cell>
          <cell r="C806" t="str">
            <v xml:space="preserve">นายซอ เน ลิน </v>
          </cell>
          <cell r="D806" t="str">
            <v>MIX</v>
          </cell>
          <cell r="E806" t="str">
            <v>รายวัน</v>
          </cell>
          <cell r="F806" t="str">
            <v>Sub Contract</v>
          </cell>
          <cell r="G806" t="str">
            <v>พนักงานทั่วไป</v>
          </cell>
        </row>
        <row r="807">
          <cell r="B807" t="str">
            <v>6452007K</v>
          </cell>
          <cell r="C807" t="str">
            <v xml:space="preserve">นายอ่อง เมียว นาย </v>
          </cell>
          <cell r="D807" t="str">
            <v>FMG-B</v>
          </cell>
          <cell r="E807" t="str">
            <v>รายวัน</v>
          </cell>
          <cell r="F807" t="str">
            <v>Sub Contract</v>
          </cell>
          <cell r="G807" t="str">
            <v>พนักงานทั่วไป</v>
          </cell>
        </row>
        <row r="808">
          <cell r="B808" t="str">
            <v>6442008K</v>
          </cell>
          <cell r="C808" t="str">
            <v xml:space="preserve">นายเกา ไค วิน </v>
          </cell>
          <cell r="D808" t="str">
            <v>MIX</v>
          </cell>
          <cell r="E808" t="str">
            <v>รายวัน</v>
          </cell>
          <cell r="F808" t="str">
            <v>Sub Contract</v>
          </cell>
          <cell r="G808" t="str">
            <v>พนักงานทั่วไป</v>
          </cell>
        </row>
        <row r="809">
          <cell r="B809" t="str">
            <v>6432009K</v>
          </cell>
          <cell r="C809" t="str">
            <v xml:space="preserve">นายโท เมี๊ยะ ทุย </v>
          </cell>
          <cell r="D809" t="str">
            <v>EXT</v>
          </cell>
          <cell r="E809" t="str">
            <v>รายวัน</v>
          </cell>
          <cell r="F809" t="str">
            <v>Sub Contract</v>
          </cell>
          <cell r="G809" t="str">
            <v>พนักงานทั่วไป</v>
          </cell>
        </row>
        <row r="810">
          <cell r="B810" t="str">
            <v>6512010K</v>
          </cell>
          <cell r="C810" t="str">
            <v>นางสาวเอ มิ โซ</v>
          </cell>
          <cell r="D810" t="str">
            <v>CUT</v>
          </cell>
          <cell r="E810" t="str">
            <v>รายวัน</v>
          </cell>
          <cell r="F810" t="str">
            <v>Sub Contract</v>
          </cell>
          <cell r="G810" t="str">
            <v>พนักงานทั่วไป</v>
          </cell>
        </row>
        <row r="811">
          <cell r="B811" t="str">
            <v>6512011K</v>
          </cell>
          <cell r="C811" t="str">
            <v>นายวัน ไว โม</v>
          </cell>
          <cell r="D811" t="str">
            <v>MIX</v>
          </cell>
          <cell r="E811" t="str">
            <v>รายวัน</v>
          </cell>
          <cell r="F811" t="str">
            <v>Sub Contract</v>
          </cell>
          <cell r="G811" t="str">
            <v>พนักงานทั่วไป</v>
          </cell>
        </row>
        <row r="812">
          <cell r="B812">
            <v>6512012</v>
          </cell>
          <cell r="C812" t="str">
            <v>นางสาวนันติยา เตยสอย</v>
          </cell>
          <cell r="D812" t="str">
            <v>EXT</v>
          </cell>
          <cell r="E812" t="str">
            <v>รายวัน</v>
          </cell>
          <cell r="F812" t="str">
            <v>CAR</v>
          </cell>
          <cell r="G812" t="str">
            <v>พนักงานทั่วไป</v>
          </cell>
        </row>
        <row r="813">
          <cell r="B813">
            <v>6512013</v>
          </cell>
          <cell r="C813" t="str">
            <v>นางสาวนิพร สนทาธร</v>
          </cell>
          <cell r="D813" t="str">
            <v>FNG-1</v>
          </cell>
          <cell r="E813" t="str">
            <v>รายวัน</v>
          </cell>
          <cell r="F813" t="str">
            <v>CAR</v>
          </cell>
          <cell r="G813" t="str">
            <v>พนักงานทั่วไป</v>
          </cell>
        </row>
        <row r="814">
          <cell r="B814">
            <v>6512014</v>
          </cell>
          <cell r="C814" t="str">
            <v>นางสาวเพ็ญศรี มาสิงห์</v>
          </cell>
          <cell r="D814" t="str">
            <v>FNG-6</v>
          </cell>
          <cell r="E814" t="str">
            <v>รายวัน</v>
          </cell>
          <cell r="F814" t="str">
            <v>CAR</v>
          </cell>
          <cell r="G814" t="str">
            <v>พนักงานทั่วไป</v>
          </cell>
        </row>
        <row r="815">
          <cell r="B815" t="str">
            <v>6512015U</v>
          </cell>
          <cell r="C815" t="str">
            <v>นายสมทรง แฟมไธสงค์</v>
          </cell>
          <cell r="D815" t="str">
            <v>FMG-A</v>
          </cell>
          <cell r="E815" t="str">
            <v>รายวัน</v>
          </cell>
          <cell r="F815" t="str">
            <v>Sub Contract</v>
          </cell>
          <cell r="G815" t="str">
            <v>พนักงานทั่วไป</v>
          </cell>
        </row>
        <row r="816">
          <cell r="B816" t="str">
            <v>6512016U</v>
          </cell>
          <cell r="C816" t="str">
            <v>นายกิตติวินท์ ไกรศรีทุม</v>
          </cell>
          <cell r="D816" t="str">
            <v>FMG-A</v>
          </cell>
          <cell r="E816" t="str">
            <v>รายวัน</v>
          </cell>
          <cell r="F816" t="str">
            <v>Sub Contract</v>
          </cell>
          <cell r="G816" t="str">
            <v>พนักงานทั่วไป</v>
          </cell>
        </row>
        <row r="817">
          <cell r="B817">
            <v>6512017</v>
          </cell>
          <cell r="C817" t="str">
            <v>นางสาวสกุณา หล้าหลาบ</v>
          </cell>
          <cell r="D817" t="str">
            <v>FNG-6</v>
          </cell>
          <cell r="E817" t="str">
            <v>รายวัน</v>
          </cell>
          <cell r="F817" t="str">
            <v>CAR</v>
          </cell>
          <cell r="G817" t="str">
            <v>พนักงานทั่วไป</v>
          </cell>
        </row>
        <row r="818">
          <cell r="B818" t="str">
            <v>6512018U</v>
          </cell>
          <cell r="C818" t="str">
            <v>นางสาววรรณนภา สุภนาม</v>
          </cell>
          <cell r="D818" t="str">
            <v>FNG-2</v>
          </cell>
          <cell r="E818" t="str">
            <v>รายวัน</v>
          </cell>
          <cell r="F818" t="str">
            <v>Sub Contract</v>
          </cell>
          <cell r="G818" t="str">
            <v>พนักงานทั่วไป</v>
          </cell>
        </row>
        <row r="819">
          <cell r="B819" t="str">
            <v>6512019U</v>
          </cell>
          <cell r="C819" t="str">
            <v>นางสาวโอมสุรี จันทเขต</v>
          </cell>
          <cell r="D819" t="str">
            <v>FNG-3</v>
          </cell>
          <cell r="E819" t="str">
            <v>รายวัน</v>
          </cell>
          <cell r="F819" t="str">
            <v>Sub Contract</v>
          </cell>
          <cell r="G819" t="str">
            <v>พนักงานทั่วไป</v>
          </cell>
        </row>
        <row r="820">
          <cell r="B820" t="str">
            <v>6512020</v>
          </cell>
          <cell r="C820" t="str">
            <v>นายบัวขาว กันยาเนตร</v>
          </cell>
          <cell r="D820" t="str">
            <v>FMG-A</v>
          </cell>
          <cell r="E820" t="str">
            <v>รายเดือน</v>
          </cell>
          <cell r="F820" t="str">
            <v>CAR</v>
          </cell>
          <cell r="G820" t="str">
            <v>พนักงานทั่วไป</v>
          </cell>
        </row>
        <row r="821">
          <cell r="B821">
            <v>6601003</v>
          </cell>
          <cell r="C821" t="str">
            <v>นางสาวมนัสนันท์ มั่งคง</v>
          </cell>
          <cell r="D821" t="str">
            <v>FNG-4</v>
          </cell>
          <cell r="E821" t="str">
            <v>รายวัน</v>
          </cell>
          <cell r="F821" t="str">
            <v>CAR</v>
          </cell>
          <cell r="G821" t="str">
            <v>พนักงานทั่วไป</v>
          </cell>
        </row>
        <row r="822">
          <cell r="B822">
            <v>6601004</v>
          </cell>
          <cell r="C822" t="str">
            <v>นางสาวถิรพร โคตรชมภู</v>
          </cell>
          <cell r="D822" t="str">
            <v>FNG-3</v>
          </cell>
          <cell r="E822" t="str">
            <v>รายวัน</v>
          </cell>
          <cell r="F822" t="str">
            <v>CAR</v>
          </cell>
          <cell r="G822" t="str">
            <v>พนักงานทั่วไป</v>
          </cell>
        </row>
        <row r="823">
          <cell r="B823" t="str">
            <v>6601006U</v>
          </cell>
          <cell r="C823" t="str">
            <v>นายสมหมาย อินทร์เคน</v>
          </cell>
          <cell r="D823" t="str">
            <v>FMG-B</v>
          </cell>
          <cell r="E823" t="str">
            <v>รายวัน</v>
          </cell>
          <cell r="F823" t="str">
            <v>Sub Contract</v>
          </cell>
          <cell r="G823" t="str">
            <v>พนักงานทั่วไป</v>
          </cell>
        </row>
        <row r="824">
          <cell r="B824">
            <v>6601007</v>
          </cell>
          <cell r="C824" t="str">
            <v>นายสถาพร พันธุ์วิเศษ</v>
          </cell>
          <cell r="D824" t="str">
            <v>FMG-A</v>
          </cell>
          <cell r="E824" t="str">
            <v>รายวัน</v>
          </cell>
          <cell r="F824" t="str">
            <v>CAR</v>
          </cell>
          <cell r="G824" t="str">
            <v>พนักงานทั่วไป</v>
          </cell>
        </row>
        <row r="825">
          <cell r="B825" t="str">
            <v>6503036S</v>
          </cell>
          <cell r="C825" t="str">
            <v>นายภาคิน อ่อนปาน</v>
          </cell>
          <cell r="D825" t="str">
            <v>FMG-A</v>
          </cell>
          <cell r="E825" t="str">
            <v>รายวัน</v>
          </cell>
          <cell r="F825" t="str">
            <v>Trainees</v>
          </cell>
          <cell r="G825" t="str">
            <v>นักศึกษาฝึกงาน</v>
          </cell>
        </row>
        <row r="826">
          <cell r="B826" t="str">
            <v>6601008U</v>
          </cell>
          <cell r="C826" t="str">
            <v>นายนัฐพงษ์ กองช้าง</v>
          </cell>
          <cell r="D826" t="str">
            <v>FMG-A</v>
          </cell>
          <cell r="E826" t="str">
            <v>รายวัน</v>
          </cell>
          <cell r="F826" t="str">
            <v>Sub Contract</v>
          </cell>
          <cell r="G826" t="str">
            <v>พนักงานทั่วไป</v>
          </cell>
        </row>
        <row r="827">
          <cell r="B827" t="str">
            <v>6601009K</v>
          </cell>
          <cell r="C827" t="str">
            <v>นายชัน เนียน อ่อง</v>
          </cell>
          <cell r="D827" t="str">
            <v>MIX</v>
          </cell>
          <cell r="E827" t="str">
            <v>รายวัน</v>
          </cell>
          <cell r="F827" t="str">
            <v>Sub Contract</v>
          </cell>
          <cell r="G827" t="str">
            <v>พนักงานทั่วไป</v>
          </cell>
        </row>
        <row r="828">
          <cell r="B828" t="str">
            <v>6601010K</v>
          </cell>
          <cell r="C828" t="str">
            <v>นายสมลิท สิมิสาย</v>
          </cell>
          <cell r="D828" t="str">
            <v>FMG-A</v>
          </cell>
          <cell r="E828" t="str">
            <v>รายวัน</v>
          </cell>
          <cell r="F828" t="str">
            <v>Sub Contract</v>
          </cell>
          <cell r="G828" t="str">
            <v>พนักงานทั่วไป</v>
          </cell>
        </row>
        <row r="829">
          <cell r="B829" t="str">
            <v>6601011K</v>
          </cell>
          <cell r="C829" t="str">
            <v>นายสีสะไหม ทองวันสุก</v>
          </cell>
          <cell r="D829" t="str">
            <v>FMG-A</v>
          </cell>
          <cell r="E829" t="str">
            <v>รายวัน</v>
          </cell>
          <cell r="F829" t="str">
            <v>Sub Contract</v>
          </cell>
          <cell r="G829" t="str">
            <v>พนักงานทั่วไป</v>
          </cell>
        </row>
        <row r="830">
          <cell r="B830" t="str">
            <v>6601012K</v>
          </cell>
          <cell r="C830" t="str">
            <v>นายลือ กิตติพัน</v>
          </cell>
          <cell r="D830" t="str">
            <v>FMG-B</v>
          </cell>
          <cell r="E830" t="str">
            <v>รายวัน</v>
          </cell>
          <cell r="F830" t="str">
            <v>Sub Contract</v>
          </cell>
          <cell r="G830" t="str">
            <v>พนักงานทั่วไป</v>
          </cell>
        </row>
        <row r="831">
          <cell r="B831" t="str">
            <v>6601013K</v>
          </cell>
          <cell r="C831" t="str">
            <v>นายสมนด คำบุญสาย</v>
          </cell>
          <cell r="D831" t="str">
            <v>FMG-B</v>
          </cell>
          <cell r="E831" t="str">
            <v>รายวัน</v>
          </cell>
          <cell r="F831" t="str">
            <v>Sub Contract</v>
          </cell>
          <cell r="G831" t="str">
            <v>พนักงานทั่วไป</v>
          </cell>
        </row>
        <row r="832">
          <cell r="B832" t="str">
            <v>6601014U</v>
          </cell>
          <cell r="C832" t="str">
            <v>นายศุภษร ดีสม</v>
          </cell>
          <cell r="D832" t="str">
            <v>FMG-B</v>
          </cell>
          <cell r="E832" t="str">
            <v>รายวัน</v>
          </cell>
          <cell r="F832" t="str">
            <v>Sub Contract</v>
          </cell>
          <cell r="G832" t="str">
            <v>พนักงานทั่วไป</v>
          </cell>
        </row>
        <row r="833">
          <cell r="B833">
            <v>6601015</v>
          </cell>
          <cell r="C833" t="str">
            <v>นางสาวนิศารัตน์ ไสยรส</v>
          </cell>
          <cell r="D833" t="str">
            <v>PC</v>
          </cell>
          <cell r="E833" t="str">
            <v>รายเดือน</v>
          </cell>
          <cell r="F833" t="str">
            <v>CAR</v>
          </cell>
          <cell r="G833" t="str">
            <v>เจ้าหน้าที่</v>
          </cell>
        </row>
        <row r="834">
          <cell r="B834" t="str">
            <v>6601016U</v>
          </cell>
          <cell r="C834" t="str">
            <v>นายสุทิน ชองรัมย์</v>
          </cell>
          <cell r="D834" t="str">
            <v>FMG-B</v>
          </cell>
          <cell r="E834" t="str">
            <v>รายวัน</v>
          </cell>
          <cell r="F834" t="str">
            <v>Sub Contract</v>
          </cell>
          <cell r="G834" t="str">
            <v>พนักงานทั่วไป</v>
          </cell>
        </row>
        <row r="835">
          <cell r="B835" t="str">
            <v>6601017U</v>
          </cell>
          <cell r="C835" t="str">
            <v>นายศุภชัย นพวัฒน์</v>
          </cell>
          <cell r="D835" t="str">
            <v>FMG-B</v>
          </cell>
          <cell r="E835" t="str">
            <v>รายวัน</v>
          </cell>
          <cell r="F835" t="str">
            <v>Sub Contract</v>
          </cell>
          <cell r="G835" t="str">
            <v>พนักงานทั่วไป</v>
          </cell>
        </row>
        <row r="836">
          <cell r="B836" t="str">
            <v>6601018U</v>
          </cell>
          <cell r="C836" t="str">
            <v>นายนนทวัฒน์ อินโสม</v>
          </cell>
          <cell r="D836" t="str">
            <v>FMG-B</v>
          </cell>
          <cell r="E836" t="str">
            <v>รายวัน</v>
          </cell>
          <cell r="F836" t="str">
            <v>Sub Contract</v>
          </cell>
          <cell r="G836" t="str">
            <v>พนักงานทั่วไป</v>
          </cell>
        </row>
        <row r="837">
          <cell r="B837" t="str">
            <v>6601019U</v>
          </cell>
          <cell r="C837" t="str">
            <v>นายก้องเกียรติ มันทากาศ</v>
          </cell>
          <cell r="D837" t="str">
            <v>FMG-B</v>
          </cell>
          <cell r="E837" t="str">
            <v>รายวัน</v>
          </cell>
          <cell r="F837" t="str">
            <v>Sub Contract</v>
          </cell>
          <cell r="G837" t="str">
            <v>พนักงานทั่วไป</v>
          </cell>
        </row>
        <row r="838">
          <cell r="B838" t="str">
            <v>6601020K</v>
          </cell>
          <cell r="C838" t="str">
            <v>นายไบ  -</v>
          </cell>
          <cell r="D838" t="str">
            <v>FMG-B</v>
          </cell>
          <cell r="E838" t="str">
            <v>รายวัน</v>
          </cell>
          <cell r="F838" t="str">
            <v>Sub Contract</v>
          </cell>
          <cell r="G838" t="str">
            <v>พนักงานทั่วไป</v>
          </cell>
        </row>
        <row r="839">
          <cell r="B839" t="str">
            <v>6601021</v>
          </cell>
          <cell r="C839" t="str">
            <v>นายพนม พะนิรัมย์</v>
          </cell>
          <cell r="D839" t="str">
            <v>MT</v>
          </cell>
          <cell r="E839" t="str">
            <v>รายเดือน</v>
          </cell>
          <cell r="F839" t="str">
            <v>CAR</v>
          </cell>
          <cell r="G839" t="str">
            <v>ช่างเทคนิค</v>
          </cell>
        </row>
        <row r="840">
          <cell r="B840">
            <v>6601022</v>
          </cell>
          <cell r="C840" t="str">
            <v>นายอนันตศักดิ์ ปะละสี</v>
          </cell>
          <cell r="D840" t="str">
            <v>FMG-B</v>
          </cell>
          <cell r="E840" t="str">
            <v>รายเดือน</v>
          </cell>
          <cell r="F840" t="str">
            <v>CAR</v>
          </cell>
          <cell r="G840" t="str">
            <v>Set up mold</v>
          </cell>
        </row>
        <row r="841">
          <cell r="B841" t="str">
            <v>6601002</v>
          </cell>
          <cell r="C841" t="str">
            <v>นางสาวนิสา จันทะโสม</v>
          </cell>
          <cell r="D841" t="str">
            <v>STO</v>
          </cell>
          <cell r="E841" t="str">
            <v>รายเดือน</v>
          </cell>
          <cell r="F841" t="str">
            <v>CAR</v>
          </cell>
          <cell r="G841" t="str">
            <v>พนักงานทั่วไป</v>
          </cell>
        </row>
        <row r="842">
          <cell r="B842">
            <v>6601024</v>
          </cell>
          <cell r="C842" t="str">
            <v>นายอดิศักดิ์ ราชสาวงศ์</v>
          </cell>
          <cell r="D842" t="str">
            <v>EN</v>
          </cell>
          <cell r="E842" t="str">
            <v>รายวัน</v>
          </cell>
          <cell r="F842" t="str">
            <v>CAR</v>
          </cell>
          <cell r="G842" t="str">
            <v>พนักงานทั่วไป</v>
          </cell>
        </row>
        <row r="843">
          <cell r="B843" t="str">
            <v>6601025K</v>
          </cell>
          <cell r="C843" t="str">
            <v>นายลิน หน่าย</v>
          </cell>
          <cell r="D843" t="str">
            <v>CUT</v>
          </cell>
          <cell r="E843" t="str">
            <v>รายวัน</v>
          </cell>
          <cell r="F843" t="str">
            <v>Sub Contract</v>
          </cell>
          <cell r="G843" t="str">
            <v>พนักงานทั่วไป</v>
          </cell>
        </row>
        <row r="844">
          <cell r="B844" t="str">
            <v>6601026K</v>
          </cell>
          <cell r="C844" t="str">
            <v>นายคืน  -</v>
          </cell>
          <cell r="D844" t="str">
            <v>FMG-B</v>
          </cell>
          <cell r="E844" t="str">
            <v>รายวัน</v>
          </cell>
          <cell r="F844" t="str">
            <v>Sub Contract</v>
          </cell>
          <cell r="G844" t="str">
            <v>พนักงานทั่วไป</v>
          </cell>
        </row>
        <row r="845">
          <cell r="B845">
            <v>6601027</v>
          </cell>
          <cell r="C845" t="str">
            <v>นางสาวพิมประภา วงเคน</v>
          </cell>
          <cell r="D845" t="str">
            <v>STO</v>
          </cell>
          <cell r="E845" t="str">
            <v>รายวัน</v>
          </cell>
          <cell r="F845" t="str">
            <v>CAR</v>
          </cell>
          <cell r="G845" t="str">
            <v>พนักงานทั่วไป</v>
          </cell>
        </row>
        <row r="846">
          <cell r="B846" t="str">
            <v>6601028</v>
          </cell>
          <cell r="C846" t="str">
            <v>นางสาวสุปราณี แสงสุข</v>
          </cell>
          <cell r="D846" t="str">
            <v>FNG-6</v>
          </cell>
          <cell r="E846" t="str">
            <v>รายเดือน</v>
          </cell>
          <cell r="F846" t="str">
            <v>CAR</v>
          </cell>
          <cell r="G846" t="str">
            <v>พนักงานทั่วไป</v>
          </cell>
        </row>
        <row r="847">
          <cell r="B847">
            <v>6601029</v>
          </cell>
          <cell r="C847" t="str">
            <v>นางสาวชนานันท์ หอมหวล</v>
          </cell>
          <cell r="D847" t="str">
            <v>FNG-4</v>
          </cell>
          <cell r="E847" t="str">
            <v>รายวัน</v>
          </cell>
          <cell r="F847" t="str">
            <v>CAR</v>
          </cell>
          <cell r="G847" t="str">
            <v>พนักงานทั่วไป</v>
          </cell>
        </row>
        <row r="848">
          <cell r="B848" t="str">
            <v>6602001K</v>
          </cell>
          <cell r="C848" t="str">
            <v>นายบุญลอย  -</v>
          </cell>
          <cell r="D848" t="str">
            <v>FMG-A</v>
          </cell>
          <cell r="E848" t="str">
            <v>รายวัน</v>
          </cell>
          <cell r="F848" t="str">
            <v>Sub Contract</v>
          </cell>
          <cell r="G848" t="str">
            <v>พนักงานทั่วไป</v>
          </cell>
        </row>
        <row r="849">
          <cell r="B849" t="str">
            <v>6602002K</v>
          </cell>
          <cell r="C849" t="str">
            <v>นายสิด  -</v>
          </cell>
          <cell r="D849" t="str">
            <v>EN</v>
          </cell>
          <cell r="E849" t="str">
            <v>รายวัน</v>
          </cell>
          <cell r="F849" t="str">
            <v>Sub Contract</v>
          </cell>
          <cell r="G849" t="str">
            <v>พนักงานทั่วไป</v>
          </cell>
        </row>
        <row r="850">
          <cell r="B850" t="str">
            <v>6602003K</v>
          </cell>
          <cell r="C850" t="str">
            <v>นายไม ไสยะสิด</v>
          </cell>
          <cell r="D850" t="str">
            <v>EXT</v>
          </cell>
          <cell r="E850" t="str">
            <v>รายวัน</v>
          </cell>
          <cell r="F850" t="str">
            <v>Sub Contract</v>
          </cell>
          <cell r="G850" t="str">
            <v>พนักงานทั่วไป</v>
          </cell>
        </row>
        <row r="851">
          <cell r="B851" t="str">
            <v>6602004K</v>
          </cell>
          <cell r="C851" t="str">
            <v>นายไพ  -</v>
          </cell>
          <cell r="D851" t="str">
            <v>EXT</v>
          </cell>
          <cell r="E851" t="str">
            <v>รายวัน</v>
          </cell>
          <cell r="F851" t="str">
            <v>Sub Contract</v>
          </cell>
          <cell r="G851" t="str">
            <v>พนักงานทั่วไป</v>
          </cell>
        </row>
        <row r="852">
          <cell r="B852" t="str">
            <v>6602005K</v>
          </cell>
          <cell r="C852" t="str">
            <v>นายวิไลพอน สุลีสัก</v>
          </cell>
          <cell r="D852" t="str">
            <v>FMG-A</v>
          </cell>
          <cell r="E852" t="str">
            <v>รายวัน</v>
          </cell>
          <cell r="F852" t="str">
            <v>Sub Contract</v>
          </cell>
          <cell r="G852" t="str">
            <v>พนักงานทั่วไป</v>
          </cell>
        </row>
        <row r="853">
          <cell r="B853" t="str">
            <v>6602006K</v>
          </cell>
          <cell r="C853" t="str">
            <v>นายจำปี  -</v>
          </cell>
          <cell r="D853" t="str">
            <v>FMG-B</v>
          </cell>
          <cell r="E853" t="str">
            <v>รายวัน</v>
          </cell>
          <cell r="F853" t="str">
            <v>Sub Contract</v>
          </cell>
          <cell r="G853" t="str">
            <v>พนักงานทั่วไป</v>
          </cell>
        </row>
        <row r="854">
          <cell r="B854">
            <v>6602007</v>
          </cell>
          <cell r="C854" t="str">
            <v>นางสาวสุวรรณา แสงจันทร์</v>
          </cell>
          <cell r="D854" t="str">
            <v>QA/QC</v>
          </cell>
          <cell r="E854" t="str">
            <v>รายเดือน</v>
          </cell>
          <cell r="F854" t="str">
            <v>CAR</v>
          </cell>
          <cell r="G854" t="str">
            <v>QC Line</v>
          </cell>
        </row>
        <row r="855">
          <cell r="B855">
            <v>6602009</v>
          </cell>
          <cell r="C855" t="str">
            <v>นายประไพ แก้วสีใส</v>
          </cell>
          <cell r="D855" t="str">
            <v>EXT</v>
          </cell>
          <cell r="E855" t="str">
            <v>รายเดือน</v>
          </cell>
          <cell r="F855" t="str">
            <v>CAR</v>
          </cell>
          <cell r="G855" t="str">
            <v>พนักงานทั่วไป</v>
          </cell>
        </row>
        <row r="856">
          <cell r="B856">
            <v>6602008</v>
          </cell>
          <cell r="C856" t="str">
            <v>นายธนิศร พวงศรี</v>
          </cell>
          <cell r="D856" t="str">
            <v>EXT</v>
          </cell>
          <cell r="E856" t="str">
            <v>รายเดือน</v>
          </cell>
          <cell r="F856" t="str">
            <v>CAR</v>
          </cell>
          <cell r="G856" t="str">
            <v>พนักงานทั่วไป</v>
          </cell>
        </row>
        <row r="857">
          <cell r="B857">
            <v>6602010</v>
          </cell>
          <cell r="C857" t="str">
            <v>นางสาววนิดา โมรีย์</v>
          </cell>
          <cell r="D857" t="str">
            <v>FNG-3</v>
          </cell>
          <cell r="E857" t="str">
            <v>รายวัน</v>
          </cell>
          <cell r="F857" t="str">
            <v>CAR</v>
          </cell>
          <cell r="G857" t="str">
            <v>พนักงานทั่วไป</v>
          </cell>
        </row>
        <row r="858">
          <cell r="B858">
            <v>6602011</v>
          </cell>
          <cell r="C858" t="str">
            <v>นางสาวรุ่งทิวา สมฤทธิ์</v>
          </cell>
          <cell r="D858" t="str">
            <v>FNG-4</v>
          </cell>
          <cell r="E858" t="str">
            <v>รายวัน</v>
          </cell>
          <cell r="F858" t="str">
            <v>CAR</v>
          </cell>
          <cell r="G858" t="str">
            <v>พนักงานทั่วไป</v>
          </cell>
        </row>
        <row r="859">
          <cell r="B859">
            <v>6602012</v>
          </cell>
          <cell r="C859" t="str">
            <v>นางสาวอรดา ศรีหอม</v>
          </cell>
          <cell r="D859" t="str">
            <v>FNG-4</v>
          </cell>
          <cell r="E859" t="str">
            <v>รายวัน</v>
          </cell>
          <cell r="F859" t="str">
            <v>CAR</v>
          </cell>
          <cell r="G859" t="str">
            <v>พนักงานทั่วไป</v>
          </cell>
        </row>
        <row r="860">
          <cell r="B860">
            <v>6602013</v>
          </cell>
          <cell r="C860" t="str">
            <v>นางสาวปภาดา ปาลาโพธิ์</v>
          </cell>
          <cell r="D860" t="str">
            <v>FNG-6</v>
          </cell>
          <cell r="E860" t="str">
            <v>รายเดือน</v>
          </cell>
          <cell r="F860" t="str">
            <v>CAR</v>
          </cell>
          <cell r="G860" t="str">
            <v>พนักงานทั่วไป</v>
          </cell>
        </row>
        <row r="861">
          <cell r="B861">
            <v>6602014</v>
          </cell>
          <cell r="C861" t="str">
            <v>นายณัฐภัทร สงบกิจ</v>
          </cell>
          <cell r="D861" t="str">
            <v>PD</v>
          </cell>
          <cell r="E861" t="str">
            <v>รายเดือน</v>
          </cell>
          <cell r="F861" t="str">
            <v>CAR</v>
          </cell>
          <cell r="G861" t="str">
            <v>หัวหน้าหน่วย</v>
          </cell>
        </row>
        <row r="862">
          <cell r="B862">
            <v>6602015</v>
          </cell>
          <cell r="C862" t="str">
            <v>นายชัยมงคล บูรณ์เจริญ</v>
          </cell>
          <cell r="D862" t="str">
            <v>MT</v>
          </cell>
          <cell r="E862" t="str">
            <v>รายเดือน</v>
          </cell>
          <cell r="F862" t="str">
            <v>CAR</v>
          </cell>
          <cell r="G862" t="str">
            <v>ช่างเทคนิค</v>
          </cell>
        </row>
        <row r="863">
          <cell r="B863">
            <v>6602016</v>
          </cell>
          <cell r="C863" t="str">
            <v>นายภูริณัฐ เกิดการบุญ</v>
          </cell>
          <cell r="D863" t="str">
            <v>EXT</v>
          </cell>
          <cell r="E863" t="str">
            <v>รายวัน</v>
          </cell>
          <cell r="F863" t="str">
            <v>CAR</v>
          </cell>
          <cell r="G863" t="str">
            <v>พนักงานทั่วไป</v>
          </cell>
        </row>
        <row r="864">
          <cell r="B864">
            <v>6602017</v>
          </cell>
          <cell r="C864" t="str">
            <v>นายนิติพล บุบผามาลา</v>
          </cell>
          <cell r="D864" t="str">
            <v>MIX</v>
          </cell>
          <cell r="E864" t="str">
            <v>รายวัน</v>
          </cell>
          <cell r="F864" t="str">
            <v>CAR</v>
          </cell>
          <cell r="G864" t="str">
            <v>พนักงานทั่วไป</v>
          </cell>
        </row>
        <row r="865">
          <cell r="B865">
            <v>6602018</v>
          </cell>
          <cell r="C865" t="str">
            <v>นางสาวนิชธาวัลย์ ยิ้มละมูล</v>
          </cell>
          <cell r="D865" t="str">
            <v>STO</v>
          </cell>
          <cell r="E865" t="str">
            <v>รายวัน</v>
          </cell>
          <cell r="F865" t="str">
            <v>CAR</v>
          </cell>
          <cell r="G865" t="str">
            <v>พนักงานทั่วไป</v>
          </cell>
        </row>
        <row r="866">
          <cell r="B866">
            <v>6602019</v>
          </cell>
          <cell r="C866" t="str">
            <v>นางสาวรัชฎาพร บุตรศรีจันทร์</v>
          </cell>
          <cell r="D866" t="str">
            <v>STO</v>
          </cell>
          <cell r="E866" t="str">
            <v>รายวัน</v>
          </cell>
          <cell r="F866" t="str">
            <v>CAR</v>
          </cell>
          <cell r="G866" t="str">
            <v>พนักงานทั่วไป</v>
          </cell>
        </row>
        <row r="867">
          <cell r="B867">
            <v>6602020</v>
          </cell>
          <cell r="C867" t="str">
            <v>นายวินัย ใสสะอาด</v>
          </cell>
          <cell r="D867" t="str">
            <v>EXT</v>
          </cell>
          <cell r="E867" t="str">
            <v>รายเดือน</v>
          </cell>
          <cell r="F867" t="str">
            <v>CAR</v>
          </cell>
          <cell r="G867" t="str">
            <v>พนักงานทั่วไป</v>
          </cell>
        </row>
        <row r="868">
          <cell r="B868">
            <v>6602021</v>
          </cell>
          <cell r="C868" t="str">
            <v>นายไกรวุฒิ อ้อยหอม</v>
          </cell>
          <cell r="D868" t="str">
            <v>MT</v>
          </cell>
          <cell r="E868" t="str">
            <v>รายเดือน</v>
          </cell>
          <cell r="F868" t="str">
            <v>CAR</v>
          </cell>
          <cell r="G868" t="str">
            <v>ช่างเทคนิค</v>
          </cell>
        </row>
        <row r="869">
          <cell r="B869">
            <v>6602023</v>
          </cell>
          <cell r="C869" t="str">
            <v>นายมาวิน ถาวร</v>
          </cell>
          <cell r="D869" t="str">
            <v>MT</v>
          </cell>
          <cell r="E869" t="str">
            <v>รายเดือน</v>
          </cell>
          <cell r="F869" t="str">
            <v>CAR</v>
          </cell>
          <cell r="G869" t="str">
            <v>ช่างเทคนิค</v>
          </cell>
        </row>
        <row r="870">
          <cell r="B870" t="str">
            <v>6603001K</v>
          </cell>
          <cell r="C870" t="str">
            <v>นายโซ ติฮา</v>
          </cell>
          <cell r="D870" t="str">
            <v>CUT</v>
          </cell>
          <cell r="E870" t="str">
            <v>รายวัน</v>
          </cell>
          <cell r="F870" t="str">
            <v>Sub Contract</v>
          </cell>
          <cell r="G870" t="str">
            <v>พนักงานทั่วไป</v>
          </cell>
        </row>
        <row r="871">
          <cell r="B871">
            <v>6603002</v>
          </cell>
          <cell r="C871" t="str">
            <v>นายวัฒนา เหมมะ</v>
          </cell>
          <cell r="D871" t="str">
            <v>FMG-B</v>
          </cell>
          <cell r="E871" t="str">
            <v>รายวัน</v>
          </cell>
          <cell r="F871" t="str">
            <v>CAR</v>
          </cell>
          <cell r="G871" t="str">
            <v>พนักงานทั่วไป</v>
          </cell>
        </row>
        <row r="872">
          <cell r="B872" t="str">
            <v>6603003</v>
          </cell>
          <cell r="C872" t="str">
            <v>นายตนุพล พิพัฒน์ผล</v>
          </cell>
          <cell r="D872" t="str">
            <v>FMG-A</v>
          </cell>
          <cell r="E872" t="str">
            <v>รายวัน</v>
          </cell>
          <cell r="F872" t="str">
            <v>CAR</v>
          </cell>
          <cell r="G872" t="str">
            <v>พนักงานทั่วไป</v>
          </cell>
        </row>
        <row r="873">
          <cell r="B873" t="str">
            <v>6603004U</v>
          </cell>
          <cell r="C873" t="str">
            <v>นายสนอง ซึ่งพรม</v>
          </cell>
          <cell r="D873" t="str">
            <v>FMG-B</v>
          </cell>
          <cell r="E873" t="str">
            <v>รายวัน</v>
          </cell>
          <cell r="F873" t="str">
            <v>Sub Contract</v>
          </cell>
          <cell r="G873" t="str">
            <v>พนักงานทั่วไป</v>
          </cell>
        </row>
        <row r="874">
          <cell r="B874" t="str">
            <v>6603005U</v>
          </cell>
          <cell r="C874" t="str">
            <v>นายรวีโรจน์ วิรบรรณ</v>
          </cell>
          <cell r="D874" t="str">
            <v>FMG-B</v>
          </cell>
          <cell r="E874" t="str">
            <v>รายวัน</v>
          </cell>
          <cell r="F874" t="str">
            <v>Sub Contract</v>
          </cell>
          <cell r="G874" t="str">
            <v>พนักงานทั่วไป</v>
          </cell>
        </row>
        <row r="875">
          <cell r="B875" t="str">
            <v>6603006U</v>
          </cell>
          <cell r="C875" t="str">
            <v>นายวัฒนา มิตรเมืองแมน</v>
          </cell>
          <cell r="D875" t="str">
            <v>FMG-B</v>
          </cell>
          <cell r="E875" t="str">
            <v>รายวัน</v>
          </cell>
          <cell r="F875" t="str">
            <v>Sub Contract</v>
          </cell>
          <cell r="G875" t="str">
            <v>พนักงานทั่วไป</v>
          </cell>
        </row>
        <row r="876">
          <cell r="B876" t="str">
            <v>6603007U</v>
          </cell>
          <cell r="C876" t="str">
            <v>นายธิติวุฒิ พันธุ์กิจ</v>
          </cell>
          <cell r="D876" t="str">
            <v>FMG-B</v>
          </cell>
          <cell r="E876" t="str">
            <v>รายวัน</v>
          </cell>
          <cell r="F876" t="str">
            <v>Sub Contract</v>
          </cell>
          <cell r="G876" t="str">
            <v>พนักงานทั่วไป</v>
          </cell>
        </row>
        <row r="877">
          <cell r="B877">
            <v>6603008</v>
          </cell>
          <cell r="C877" t="str">
            <v>นายเฉลิมวุฒิ ภาคภูมิ</v>
          </cell>
          <cell r="D877" t="str">
            <v>EN</v>
          </cell>
          <cell r="E877" t="str">
            <v>รายเดือน</v>
          </cell>
          <cell r="F877" t="str">
            <v>CAR</v>
          </cell>
          <cell r="G877" t="str">
            <v>วิศวกร</v>
          </cell>
        </row>
        <row r="878">
          <cell r="B878">
            <v>6603009</v>
          </cell>
          <cell r="C878" t="str">
            <v>นางสาวกฤชมน เจริญรุ่งนิธิ</v>
          </cell>
          <cell r="D878" t="str">
            <v>HR&amp;GA/ IT</v>
          </cell>
          <cell r="E878" t="str">
            <v>รายเดือน</v>
          </cell>
          <cell r="F878" t="str">
            <v>CAR</v>
          </cell>
          <cell r="G878" t="str">
            <v>เจ้าหน้าที่</v>
          </cell>
        </row>
        <row r="879">
          <cell r="B879">
            <v>6603010</v>
          </cell>
          <cell r="C879" t="str">
            <v>นายอาทิตย์ เตโช</v>
          </cell>
          <cell r="D879" t="str">
            <v>STO</v>
          </cell>
          <cell r="E879" t="str">
            <v>รายเดือน</v>
          </cell>
          <cell r="F879" t="str">
            <v>CAR</v>
          </cell>
          <cell r="G879" t="str">
            <v>พนักงานทั่วไป</v>
          </cell>
        </row>
        <row r="880">
          <cell r="B880">
            <v>6603011</v>
          </cell>
          <cell r="C880" t="str">
            <v>นายภานุวัฒน์ ฝาชัยภูมิ</v>
          </cell>
          <cell r="D880" t="str">
            <v>FMG-B</v>
          </cell>
          <cell r="E880" t="str">
            <v>รายวัน</v>
          </cell>
          <cell r="F880" t="str">
            <v>CAR</v>
          </cell>
          <cell r="G880" t="str">
            <v>พนักงานทั่วไป</v>
          </cell>
        </row>
        <row r="881">
          <cell r="B881" t="str">
            <v>6603012K</v>
          </cell>
          <cell r="C881" t="str">
            <v>นายกะลา  -</v>
          </cell>
          <cell r="D881" t="str">
            <v>CUT</v>
          </cell>
          <cell r="E881" t="str">
            <v>รายวัน</v>
          </cell>
          <cell r="F881" t="str">
            <v>Sub Contract</v>
          </cell>
          <cell r="G881" t="str">
            <v>พนักงานทั่วไป</v>
          </cell>
        </row>
        <row r="882">
          <cell r="B882" t="str">
            <v>6603013K</v>
          </cell>
          <cell r="C882" t="str">
            <v>นายไซ คำปลิวสะวัน</v>
          </cell>
          <cell r="D882" t="str">
            <v>FMG-A</v>
          </cell>
          <cell r="E882" t="str">
            <v>รายวัน</v>
          </cell>
          <cell r="F882" t="str">
            <v>Sub Contract</v>
          </cell>
          <cell r="G882" t="str">
            <v>พนักงานทั่วไป</v>
          </cell>
        </row>
        <row r="883">
          <cell r="B883" t="str">
            <v>6603014K</v>
          </cell>
          <cell r="C883" t="str">
            <v>นายสัมมิก  -</v>
          </cell>
          <cell r="D883" t="str">
            <v>FMG-A</v>
          </cell>
          <cell r="E883" t="str">
            <v>รายวัน</v>
          </cell>
          <cell r="F883" t="str">
            <v>Sub Contract</v>
          </cell>
          <cell r="G883" t="str">
            <v>พนักงานทั่วไป</v>
          </cell>
        </row>
        <row r="884">
          <cell r="B884" t="str">
            <v>6603015K</v>
          </cell>
          <cell r="C884" t="str">
            <v>นายบุญสู ตะละวาย</v>
          </cell>
          <cell r="D884" t="str">
            <v>FMG-A</v>
          </cell>
          <cell r="E884" t="str">
            <v>รายวัน</v>
          </cell>
          <cell r="F884" t="str">
            <v>Sub Contract</v>
          </cell>
          <cell r="G884" t="str">
            <v>พนักงานทั่วไป</v>
          </cell>
        </row>
        <row r="885">
          <cell r="B885" t="str">
            <v>6603016K</v>
          </cell>
          <cell r="C885" t="str">
            <v>นายตุ้ย ไสยะลับ</v>
          </cell>
          <cell r="D885" t="str">
            <v>FMG-B</v>
          </cell>
          <cell r="E885" t="str">
            <v>รายวัน</v>
          </cell>
          <cell r="F885" t="str">
            <v>Sub Contract</v>
          </cell>
          <cell r="G885" t="str">
            <v>พนักงานทั่วไป</v>
          </cell>
        </row>
        <row r="886">
          <cell r="B886">
            <v>6604001</v>
          </cell>
          <cell r="C886" t="str">
            <v>นางสาวเบญจวรรณ ทองใบโต</v>
          </cell>
          <cell r="D886" t="str">
            <v>EXT</v>
          </cell>
          <cell r="E886" t="str">
            <v>รายวัน</v>
          </cell>
          <cell r="F886" t="str">
            <v>CAR</v>
          </cell>
          <cell r="G886" t="str">
            <v>พนักงานทั่วไป</v>
          </cell>
        </row>
        <row r="887">
          <cell r="B887">
            <v>6604002</v>
          </cell>
          <cell r="C887" t="str">
            <v>นางสาวสุภาภรณ์ ใจติ๊บ</v>
          </cell>
          <cell r="D887" t="str">
            <v>FNG-4</v>
          </cell>
          <cell r="E887" t="str">
            <v>รายวัน</v>
          </cell>
          <cell r="F887" t="str">
            <v>CAR</v>
          </cell>
          <cell r="G887" t="str">
            <v>พนักงานทั่วไป</v>
          </cell>
        </row>
        <row r="888">
          <cell r="B888">
            <v>6604003</v>
          </cell>
          <cell r="C888" t="str">
            <v>นางสาววาสนา อนันตภูมิ</v>
          </cell>
          <cell r="D888" t="str">
            <v>FNG-4</v>
          </cell>
          <cell r="E888" t="str">
            <v>รายวัน</v>
          </cell>
          <cell r="F888" t="str">
            <v>CAR</v>
          </cell>
          <cell r="G888" t="str">
            <v>พนักงานทั่วไป</v>
          </cell>
        </row>
        <row r="889">
          <cell r="B889">
            <v>6604004</v>
          </cell>
          <cell r="C889" t="str">
            <v>นางสาวน้ำฝน ระกาศรี</v>
          </cell>
          <cell r="D889" t="str">
            <v>QA/QC</v>
          </cell>
          <cell r="E889" t="str">
            <v>รายเดือน</v>
          </cell>
          <cell r="F889" t="str">
            <v>CAR</v>
          </cell>
          <cell r="G889" t="str">
            <v>ผู้ช่วยผู้จัดการแผนก</v>
          </cell>
        </row>
        <row r="890">
          <cell r="B890">
            <v>6604005</v>
          </cell>
          <cell r="C890" t="str">
            <v>นายศตวรรษ ดอกจันทร์</v>
          </cell>
          <cell r="D890" t="str">
            <v>R &amp; D</v>
          </cell>
          <cell r="E890" t="str">
            <v>รายเดือน</v>
          </cell>
          <cell r="F890" t="str">
            <v>CAR</v>
          </cell>
          <cell r="G890" t="str">
            <v>เจ้าหน้าที่</v>
          </cell>
        </row>
        <row r="891">
          <cell r="B891">
            <v>6604006</v>
          </cell>
          <cell r="C891" t="str">
            <v>นางสาวเมษา พรมบุดดี</v>
          </cell>
          <cell r="D891" t="str">
            <v>QA/QC</v>
          </cell>
          <cell r="E891" t="str">
            <v>รายเดือน</v>
          </cell>
          <cell r="F891" t="str">
            <v>CAR</v>
          </cell>
          <cell r="G891" t="str">
            <v>เจ้าหน้าที่</v>
          </cell>
        </row>
        <row r="892">
          <cell r="B892" t="str">
            <v>6604007</v>
          </cell>
          <cell r="C892" t="str">
            <v>นางสาวจิราภา วงเวียน</v>
          </cell>
          <cell r="D892" t="str">
            <v>DELIV</v>
          </cell>
          <cell r="E892" t="str">
            <v>รายเดือน</v>
          </cell>
          <cell r="F892" t="str">
            <v>CAR</v>
          </cell>
          <cell r="G892" t="str">
            <v>เจ้าหน้าที่</v>
          </cell>
        </row>
        <row r="893">
          <cell r="B893">
            <v>6604008</v>
          </cell>
          <cell r="C893" t="str">
            <v>นายชัชวาลย์ เขียวสุวรรณ์</v>
          </cell>
          <cell r="D893" t="str">
            <v>STO</v>
          </cell>
          <cell r="E893" t="str">
            <v>รายเดือน</v>
          </cell>
          <cell r="F893" t="str">
            <v>CAR</v>
          </cell>
          <cell r="G893" t="str">
            <v>พนักงานขับรถโฟล์คลิฟท์</v>
          </cell>
        </row>
        <row r="894">
          <cell r="B894" t="str">
            <v>6604009S</v>
          </cell>
          <cell r="C894" t="str">
            <v>นายโกวิทย์ เอกทัศน์</v>
          </cell>
          <cell r="D894" t="str">
            <v>EXT</v>
          </cell>
          <cell r="E894" t="str">
            <v>รายวัน</v>
          </cell>
          <cell r="F894" t="str">
            <v>Trainees</v>
          </cell>
          <cell r="G894" t="str">
            <v>นักศึกษาฝึกงาน</v>
          </cell>
        </row>
        <row r="895">
          <cell r="B895" t="str">
            <v>6604010S</v>
          </cell>
          <cell r="C895" t="str">
            <v>นายพรมงคล คำสีทา</v>
          </cell>
          <cell r="D895" t="str">
            <v>CUT</v>
          </cell>
          <cell r="E895" t="str">
            <v>รายวัน</v>
          </cell>
          <cell r="F895" t="str">
            <v>Trainees</v>
          </cell>
          <cell r="G895" t="str">
            <v>นักศึกษาฝึกงาน</v>
          </cell>
        </row>
        <row r="896">
          <cell r="B896" t="str">
            <v>6604011S</v>
          </cell>
          <cell r="C896" t="str">
            <v>นายอภิสิทธิ์ ประทุมวัน</v>
          </cell>
          <cell r="D896" t="str">
            <v>FMG-A</v>
          </cell>
          <cell r="E896" t="str">
            <v>รายวัน</v>
          </cell>
          <cell r="F896" t="str">
            <v>Trainees</v>
          </cell>
          <cell r="G896" t="str">
            <v>นักศึกษาฝึกงาน</v>
          </cell>
        </row>
        <row r="897">
          <cell r="B897" t="str">
            <v>6604012S</v>
          </cell>
          <cell r="C897" t="str">
            <v>นายปริญญา เสวะมาตย์</v>
          </cell>
          <cell r="D897" t="str">
            <v>FMG-A</v>
          </cell>
          <cell r="E897" t="str">
            <v>รายวัน</v>
          </cell>
          <cell r="F897" t="str">
            <v>Trainees</v>
          </cell>
          <cell r="G897" t="str">
            <v>นักศึกษาฝึกงาน</v>
          </cell>
        </row>
        <row r="898">
          <cell r="B898" t="str">
            <v>6604013S</v>
          </cell>
          <cell r="C898" t="str">
            <v>นายภาณุวัฒน์ ตูมโฮม</v>
          </cell>
          <cell r="D898" t="str">
            <v>EXT</v>
          </cell>
          <cell r="E898" t="str">
            <v>รายวัน</v>
          </cell>
          <cell r="F898" t="str">
            <v>Trainees</v>
          </cell>
          <cell r="G898" t="str">
            <v>นักศึกษาฝึกงาน</v>
          </cell>
        </row>
        <row r="899">
          <cell r="B899" t="str">
            <v>6604014S</v>
          </cell>
          <cell r="C899" t="str">
            <v>นายอนิวัฒน์ สีสอาด</v>
          </cell>
          <cell r="D899" t="str">
            <v>NT</v>
          </cell>
          <cell r="E899" t="str">
            <v>รายวัน</v>
          </cell>
          <cell r="F899" t="str">
            <v>Trainees</v>
          </cell>
          <cell r="G899" t="str">
            <v>นักศึกษาฝึกงาน</v>
          </cell>
        </row>
        <row r="900">
          <cell r="B900">
            <v>6604015</v>
          </cell>
          <cell r="C900" t="str">
            <v>นางสาวพีร์ริน จินดาพิชญะปวี</v>
          </cell>
          <cell r="D900" t="str">
            <v>MK</v>
          </cell>
          <cell r="E900" t="str">
            <v>รายเดือน</v>
          </cell>
          <cell r="F900" t="str">
            <v>CAR</v>
          </cell>
          <cell r="G900" t="str">
            <v>หัวหน้าแผนก</v>
          </cell>
        </row>
        <row r="901">
          <cell r="B901" t="str">
            <v>6604016S</v>
          </cell>
          <cell r="C901" t="str">
            <v>นางสาวบุณณมาส ประสมกล้า</v>
          </cell>
          <cell r="D901" t="str">
            <v>EN</v>
          </cell>
          <cell r="E901" t="str">
            <v>รายวัน</v>
          </cell>
          <cell r="F901" t="str">
            <v>Trainees</v>
          </cell>
          <cell r="G901" t="str">
            <v>นักศึกษาฝึกงาน</v>
          </cell>
        </row>
        <row r="902">
          <cell r="B902" t="str">
            <v>6604017S</v>
          </cell>
          <cell r="C902" t="str">
            <v>นางสาวสุนันทา กรวยทอง</v>
          </cell>
          <cell r="D902" t="str">
            <v>EN</v>
          </cell>
          <cell r="E902" t="str">
            <v>รายวัน</v>
          </cell>
          <cell r="F902" t="str">
            <v>Trainees</v>
          </cell>
          <cell r="G902" t="str">
            <v>นักศึกษาฝึกงาน</v>
          </cell>
        </row>
        <row r="903">
          <cell r="B903">
            <v>6605001</v>
          </cell>
          <cell r="C903" t="str">
            <v>นายธนูศักดิ์ จันสอน</v>
          </cell>
          <cell r="D903" t="str">
            <v>EN</v>
          </cell>
          <cell r="E903" t="str">
            <v>รายเดือน</v>
          </cell>
          <cell r="F903" t="str">
            <v>CAR</v>
          </cell>
          <cell r="G903" t="str">
            <v xml:space="preserve">Senior Engineer </v>
          </cell>
        </row>
        <row r="904">
          <cell r="B904" t="str">
            <v>6605002</v>
          </cell>
          <cell r="C904" t="str">
            <v>นายวรวิทย์ ทิศฉลาด</v>
          </cell>
          <cell r="D904" t="str">
            <v>EN</v>
          </cell>
          <cell r="E904" t="str">
            <v>รายเดือน</v>
          </cell>
          <cell r="F904" t="str">
            <v>CAR</v>
          </cell>
          <cell r="G904" t="str">
            <v>วิศวกร</v>
          </cell>
        </row>
        <row r="905">
          <cell r="B905">
            <v>6605003</v>
          </cell>
          <cell r="C905" t="str">
            <v>นางสาวกนิษฐา จงดี</v>
          </cell>
          <cell r="D905" t="str">
            <v>FIN&amp;ACC</v>
          </cell>
          <cell r="E905" t="str">
            <v>รายเดือน</v>
          </cell>
          <cell r="F905" t="str">
            <v>CAR</v>
          </cell>
          <cell r="G905" t="str">
            <v>เจ้าหน้าที่</v>
          </cell>
        </row>
        <row r="906">
          <cell r="B906" t="str">
            <v>6605004S</v>
          </cell>
          <cell r="C906" t="str">
            <v>นางสาวจิรัฐติกานต์ มีบง</v>
          </cell>
          <cell r="D906" t="str">
            <v>STO</v>
          </cell>
          <cell r="E906" t="str">
            <v>รายวัน</v>
          </cell>
          <cell r="F906" t="str">
            <v>Trainees</v>
          </cell>
          <cell r="G906" t="str">
            <v>นักศึกษาฝึกงาน</v>
          </cell>
        </row>
        <row r="907">
          <cell r="B907" t="str">
            <v>6605005S</v>
          </cell>
          <cell r="C907" t="str">
            <v>นายจิรวัฒน์ เพิ่มกุล</v>
          </cell>
          <cell r="D907" t="str">
            <v>FMG-A</v>
          </cell>
          <cell r="E907" t="str">
            <v>รายวัน</v>
          </cell>
          <cell r="F907" t="str">
            <v>Trainees</v>
          </cell>
          <cell r="G907" t="str">
            <v>นักศึกษาฝึกงาน</v>
          </cell>
        </row>
        <row r="908">
          <cell r="B908" t="str">
            <v>6605006S</v>
          </cell>
          <cell r="C908" t="str">
            <v>นายนนทพัทธ์ คำแพง</v>
          </cell>
          <cell r="D908" t="str">
            <v>FMG-A</v>
          </cell>
          <cell r="E908" t="str">
            <v>รายวัน</v>
          </cell>
          <cell r="F908" t="str">
            <v>Trainees</v>
          </cell>
          <cell r="G908" t="str">
            <v>นักศึกษาฝึกงาน</v>
          </cell>
        </row>
        <row r="909">
          <cell r="B909" t="str">
            <v>6605007S</v>
          </cell>
          <cell r="C909" t="str">
            <v>นายจารุพัฒน์ โมรีรัตน์</v>
          </cell>
          <cell r="D909" t="str">
            <v>EXT</v>
          </cell>
          <cell r="E909" t="str">
            <v>รายวัน</v>
          </cell>
          <cell r="F909" t="str">
            <v>Trainees</v>
          </cell>
          <cell r="G909" t="str">
            <v>นักศึกษาฝึกงาน</v>
          </cell>
        </row>
        <row r="910">
          <cell r="B910" t="str">
            <v>6605008S</v>
          </cell>
          <cell r="C910" t="str">
            <v>นายศุภศักดิ์ มุลาที</v>
          </cell>
          <cell r="D910" t="str">
            <v>MIX</v>
          </cell>
          <cell r="E910" t="str">
            <v>รายวัน</v>
          </cell>
          <cell r="F910" t="str">
            <v>Trainees</v>
          </cell>
          <cell r="G910" t="str">
            <v>นักศึกษาฝึกงาน</v>
          </cell>
        </row>
        <row r="911">
          <cell r="B911" t="str">
            <v>6605009S</v>
          </cell>
          <cell r="C911" t="str">
            <v>นายกิตติพล นีละไพจิตร</v>
          </cell>
          <cell r="D911" t="str">
            <v>FMG-A</v>
          </cell>
          <cell r="E911" t="str">
            <v>รายวัน</v>
          </cell>
          <cell r="F911" t="str">
            <v>Trainees</v>
          </cell>
          <cell r="G911" t="str">
            <v>นักศึกษาฝึกงาน</v>
          </cell>
        </row>
        <row r="912">
          <cell r="B912" t="str">
            <v>6605010S</v>
          </cell>
          <cell r="C912" t="str">
            <v>นายภูดล ดอกเทียน</v>
          </cell>
          <cell r="D912" t="str">
            <v>EXT</v>
          </cell>
          <cell r="E912" t="str">
            <v>รายวัน</v>
          </cell>
          <cell r="F912" t="str">
            <v>Trainees</v>
          </cell>
          <cell r="G912" t="str">
            <v>นักศึกษาฝึกงาน</v>
          </cell>
        </row>
        <row r="913">
          <cell r="B913">
            <v>6605011</v>
          </cell>
          <cell r="C913" t="str">
            <v>นางสาวอังสุนันท์ สุขวงษ์</v>
          </cell>
          <cell r="D913" t="str">
            <v>EN</v>
          </cell>
          <cell r="E913" t="str">
            <v>รายเดือน</v>
          </cell>
          <cell r="F913" t="str">
            <v>CAR</v>
          </cell>
          <cell r="G913" t="str">
            <v>วิศวกร</v>
          </cell>
        </row>
        <row r="914">
          <cell r="B914">
            <v>6605012</v>
          </cell>
          <cell r="C914" t="str">
            <v>นายทนงศักดิ์ สารบุตร</v>
          </cell>
          <cell r="D914" t="str">
            <v>PD</v>
          </cell>
          <cell r="E914" t="str">
            <v>รายเดือน</v>
          </cell>
          <cell r="F914" t="str">
            <v>CAR</v>
          </cell>
          <cell r="G914" t="str">
            <v>หัวหน้าหน่วย</v>
          </cell>
        </row>
        <row r="915">
          <cell r="B915" t="str">
            <v>6605013</v>
          </cell>
          <cell r="C915" t="str">
            <v>นางสาวนันท์นภัส หวานยิ้ม</v>
          </cell>
          <cell r="D915" t="str">
            <v>EN</v>
          </cell>
          <cell r="E915" t="str">
            <v>รายเดือน</v>
          </cell>
          <cell r="F915" t="str">
            <v>CAR</v>
          </cell>
          <cell r="G915" t="str">
            <v>วิศวกร</v>
          </cell>
        </row>
        <row r="916">
          <cell r="B916" t="str">
            <v>6605014</v>
          </cell>
          <cell r="C916" t="str">
            <v>นายธนดล วังพาน</v>
          </cell>
          <cell r="D916" t="str">
            <v>MT</v>
          </cell>
          <cell r="E916" t="str">
            <v>รายเดือน</v>
          </cell>
          <cell r="F916" t="str">
            <v>CAR</v>
          </cell>
          <cell r="G916" t="str">
            <v>ช่างเทคนิค</v>
          </cell>
        </row>
        <row r="917">
          <cell r="B917" t="str">
            <v>6605015</v>
          </cell>
          <cell r="C917" t="str">
            <v>นายภูวดล อึ้งศรีวงศ์</v>
          </cell>
          <cell r="D917" t="str">
            <v>STO</v>
          </cell>
          <cell r="E917" t="str">
            <v>รายเดือน</v>
          </cell>
          <cell r="F917" t="str">
            <v>CAR</v>
          </cell>
          <cell r="G917" t="str">
            <v>พนักงานทั่วไป</v>
          </cell>
        </row>
        <row r="918">
          <cell r="B918" t="str">
            <v>6605016</v>
          </cell>
          <cell r="C918" t="str">
            <v>นายพจณาช พูนมานัส</v>
          </cell>
          <cell r="D918" t="str">
            <v>MGT</v>
          </cell>
          <cell r="E918" t="str">
            <v>รายเดือน</v>
          </cell>
          <cell r="F918" t="str">
            <v>CAR</v>
          </cell>
          <cell r="G918" t="str">
            <v>ผู้จัดการทั่วไป</v>
          </cell>
        </row>
        <row r="919">
          <cell r="B919" t="str">
            <v>6606001</v>
          </cell>
          <cell r="C919" t="str">
            <v>นายภานุพงษ์  ดำเนตร</v>
          </cell>
          <cell r="D919" t="str">
            <v>PD</v>
          </cell>
          <cell r="E919" t="str">
            <v>รายเดือน</v>
          </cell>
          <cell r="F919" t="str">
            <v>CAR</v>
          </cell>
          <cell r="G919" t="str">
            <v>หัวหน้าแผนก</v>
          </cell>
        </row>
        <row r="920">
          <cell r="B920" t="str">
            <v>6606002</v>
          </cell>
          <cell r="C920" t="str">
            <v>นางสาวศิริวรรณ ศรีสวัสดิ์</v>
          </cell>
          <cell r="D920" t="str">
            <v>FIN&amp;ACC</v>
          </cell>
          <cell r="E920" t="str">
            <v>รายเดือน</v>
          </cell>
          <cell r="F920" t="str">
            <v>CAR</v>
          </cell>
          <cell r="G920" t="str">
            <v>เจ้าหน้าที่</v>
          </cell>
        </row>
        <row r="921">
          <cell r="B921" t="str">
            <v>6606003</v>
          </cell>
          <cell r="C921" t="str">
            <v>นายรัฐกรณ์  นาทอง</v>
          </cell>
          <cell r="D921" t="str">
            <v>PD</v>
          </cell>
          <cell r="E921" t="str">
            <v>รายเดือน</v>
          </cell>
          <cell r="F921" t="str">
            <v>CAR</v>
          </cell>
          <cell r="G921" t="str">
            <v>ผู้จัดการแผนก</v>
          </cell>
        </row>
        <row r="922">
          <cell r="B922" t="str">
            <v>6606004</v>
          </cell>
          <cell r="C922" t="str">
            <v>นายพรศักดิ์  ชาติมนตรี</v>
          </cell>
          <cell r="D922" t="str">
            <v>STO</v>
          </cell>
          <cell r="E922" t="str">
            <v>รายเดือน</v>
          </cell>
          <cell r="F922" t="str">
            <v>CAR</v>
          </cell>
          <cell r="G922" t="str">
            <v>พนักงานขับรถโฟล์คลิฟท์</v>
          </cell>
        </row>
        <row r="923">
          <cell r="B923" t="str">
            <v>6607001K</v>
          </cell>
          <cell r="C923" t="str">
            <v xml:space="preserve">นายเสิน  </v>
          </cell>
          <cell r="D923" t="str">
            <v>FMG-A</v>
          </cell>
          <cell r="E923" t="str">
            <v>รายวัน</v>
          </cell>
          <cell r="F923" t="str">
            <v>Sub Contract</v>
          </cell>
          <cell r="G923" t="str">
            <v>พนักงานทั่วไป</v>
          </cell>
        </row>
        <row r="924">
          <cell r="B924" t="str">
            <v>6608001</v>
          </cell>
          <cell r="C924" t="str">
            <v>นายสมบุญ  ฟูทำ</v>
          </cell>
          <cell r="D924" t="str">
            <v>MGT</v>
          </cell>
          <cell r="E924" t="str">
            <v>รายเดือน</v>
          </cell>
          <cell r="F924" t="str">
            <v>CAR</v>
          </cell>
          <cell r="G924" t="str">
            <v>ผู้จัดการทั่วไป</v>
          </cell>
        </row>
        <row r="925">
          <cell r="B925" t="str">
            <v>6608002K</v>
          </cell>
          <cell r="C925" t="str">
            <v>นายอนุสิด คุนมะนี</v>
          </cell>
          <cell r="D925" t="str">
            <v>FMG-B</v>
          </cell>
          <cell r="E925" t="str">
            <v>รายวัน</v>
          </cell>
          <cell r="F925" t="str">
            <v>Sub Contract</v>
          </cell>
          <cell r="G925" t="str">
            <v>พนักงานทั่วไป</v>
          </cell>
        </row>
        <row r="926">
          <cell r="B926" t="str">
            <v>6608003</v>
          </cell>
          <cell r="C926" t="str">
            <v>นายบพิตร ทองประมูล</v>
          </cell>
          <cell r="D926" t="str">
            <v>PD</v>
          </cell>
          <cell r="E926" t="str">
            <v>รายเดือน</v>
          </cell>
          <cell r="F926" t="str">
            <v>CAR</v>
          </cell>
          <cell r="G926" t="str">
            <v>หัวหน้าหน่วย</v>
          </cell>
        </row>
        <row r="927">
          <cell r="B927" t="str">
            <v>6608004</v>
          </cell>
          <cell r="C927" t="str">
            <v>นางสาวเหมือนฝัน ชมฉายา</v>
          </cell>
          <cell r="D927" t="str">
            <v>FIN&amp;ACC</v>
          </cell>
          <cell r="E927" t="str">
            <v>รายเดือน</v>
          </cell>
          <cell r="F927" t="str">
            <v>CAR</v>
          </cell>
          <cell r="G927" t="str">
            <v>เจ้าหน้าที่</v>
          </cell>
        </row>
        <row r="928">
          <cell r="B928" t="str">
            <v>6608005</v>
          </cell>
          <cell r="C928" t="str">
            <v>นายพงษ์สิริ นามบุรี</v>
          </cell>
          <cell r="D928" t="str">
            <v>MIX</v>
          </cell>
          <cell r="E928" t="str">
            <v>รายเดือน</v>
          </cell>
          <cell r="F928" t="str">
            <v>CAR</v>
          </cell>
          <cell r="G928" t="str">
            <v>พนักงานทั่วไป</v>
          </cell>
        </row>
        <row r="929">
          <cell r="B929" t="str">
            <v>6608006K</v>
          </cell>
          <cell r="C929" t="str">
            <v>นายแสงหล้า คุนสัมเพง</v>
          </cell>
          <cell r="D929" t="str">
            <v>FMG-B</v>
          </cell>
          <cell r="E929" t="str">
            <v>รายวัน</v>
          </cell>
          <cell r="F929" t="str">
            <v>Sub Contract</v>
          </cell>
          <cell r="G929" t="str">
            <v>พนักงานทั่วไป</v>
          </cell>
        </row>
        <row r="930">
          <cell r="B930" t="str">
            <v>6608007K</v>
          </cell>
          <cell r="C930" t="str">
            <v>นายลาง วงพะจัน</v>
          </cell>
          <cell r="D930" t="str">
            <v>MIX</v>
          </cell>
          <cell r="E930" t="str">
            <v>รายวัน</v>
          </cell>
          <cell r="F930" t="str">
            <v>Sub Contract</v>
          </cell>
          <cell r="G930" t="str">
            <v>พนักงานทั่วไป</v>
          </cell>
        </row>
        <row r="931">
          <cell r="B931" t="str">
            <v>6608008K</v>
          </cell>
          <cell r="C931" t="str">
            <v>นายไล -</v>
          </cell>
          <cell r="D931" t="str">
            <v>MIX</v>
          </cell>
          <cell r="E931" t="str">
            <v>รายวัน</v>
          </cell>
          <cell r="F931" t="str">
            <v>Sub Contract</v>
          </cell>
          <cell r="G931" t="str">
            <v>พนักงานทั่วไป</v>
          </cell>
        </row>
        <row r="932">
          <cell r="B932" t="str">
            <v>6609001</v>
          </cell>
          <cell r="C932" t="str">
            <v>นางสาวนิสากร คงดี</v>
          </cell>
          <cell r="D932" t="str">
            <v>EXT</v>
          </cell>
          <cell r="E932" t="str">
            <v>รายเดือน</v>
          </cell>
          <cell r="F932" t="str">
            <v>CAR</v>
          </cell>
          <cell r="G932" t="str">
            <v>พนักงานทั่วไป</v>
          </cell>
        </row>
        <row r="933">
          <cell r="B933" t="str">
            <v>6609002</v>
          </cell>
          <cell r="C933" t="str">
            <v>นางสาวดาวิกา ดีลาส</v>
          </cell>
          <cell r="D933" t="str">
            <v>PC</v>
          </cell>
          <cell r="E933" t="str">
            <v>รายเดือน</v>
          </cell>
          <cell r="F933" t="str">
            <v>CAR</v>
          </cell>
          <cell r="G933" t="str">
            <v>เจ้าหน้าที่</v>
          </cell>
        </row>
        <row r="934">
          <cell r="B934" t="str">
            <v>6609003S</v>
          </cell>
          <cell r="C934" t="str">
            <v>นายพีรพล สุมี</v>
          </cell>
          <cell r="D934" t="str">
            <v>STO</v>
          </cell>
          <cell r="E934" t="str">
            <v>รายวัน</v>
          </cell>
          <cell r="F934" t="str">
            <v>Trainees</v>
          </cell>
          <cell r="G934" t="str">
            <v>นักศึกษาฝึกงาน</v>
          </cell>
        </row>
        <row r="935">
          <cell r="B935" t="str">
            <v>6609004S</v>
          </cell>
          <cell r="C935" t="str">
            <v>นายวิชญะ คามะเขต</v>
          </cell>
          <cell r="D935" t="str">
            <v>FMG-B</v>
          </cell>
          <cell r="E935" t="str">
            <v>รายวัน</v>
          </cell>
          <cell r="F935" t="str">
            <v>Trainees</v>
          </cell>
          <cell r="G935" t="str">
            <v>นักศึกษาฝึกงาน</v>
          </cell>
        </row>
        <row r="936">
          <cell r="B936" t="str">
            <v>6610001</v>
          </cell>
          <cell r="C936" t="str">
            <v>นางสาวชลธิชา ตระกูลบุญนำกิจ</v>
          </cell>
          <cell r="D936" t="str">
            <v>MK</v>
          </cell>
          <cell r="E936" t="str">
            <v>รายเดือน</v>
          </cell>
          <cell r="F936" t="str">
            <v>CAR</v>
          </cell>
          <cell r="G936" t="str">
            <v>หัวหน้าแผนก</v>
          </cell>
        </row>
        <row r="937">
          <cell r="B937" t="str">
            <v>6610002</v>
          </cell>
          <cell r="C937" t="str">
            <v>นายวิทชระ ภูมิสูง</v>
          </cell>
          <cell r="D937" t="str">
            <v>TFC</v>
          </cell>
          <cell r="E937" t="str">
            <v>รายเดือน</v>
          </cell>
          <cell r="F937" t="str">
            <v>CAR</v>
          </cell>
          <cell r="G937" t="str">
            <v>พนักงานทั่วไป</v>
          </cell>
        </row>
        <row r="938">
          <cell r="B938" t="str">
            <v>6610003</v>
          </cell>
          <cell r="C938" t="str">
            <v>นายธีรภัทท์  บุญป่อย</v>
          </cell>
          <cell r="D938" t="str">
            <v>MT</v>
          </cell>
          <cell r="E938" t="str">
            <v>รายเดือน</v>
          </cell>
          <cell r="F938" t="str">
            <v>CAR</v>
          </cell>
          <cell r="G938" t="str">
            <v>ช่างเทคนิค</v>
          </cell>
        </row>
        <row r="939">
          <cell r="B939" t="str">
            <v>6610004</v>
          </cell>
          <cell r="C939" t="str">
            <v>นายภาณุวัฒน์  ทองดีนอก</v>
          </cell>
          <cell r="D939" t="str">
            <v>CUT</v>
          </cell>
          <cell r="E939" t="str">
            <v>รายเดือน</v>
          </cell>
          <cell r="F939" t="str">
            <v>CAR</v>
          </cell>
          <cell r="G939" t="str">
            <v>พนักงานทั่วไป</v>
          </cell>
        </row>
        <row r="940">
          <cell r="B940" t="str">
            <v>6612001</v>
          </cell>
          <cell r="C940" t="str">
            <v>นายธนดล ธงภักดิ์</v>
          </cell>
          <cell r="D940" t="str">
            <v>FMG-B</v>
          </cell>
          <cell r="E940" t="str">
            <v>รายเดือน</v>
          </cell>
          <cell r="F940" t="str">
            <v>CAR</v>
          </cell>
          <cell r="G940" t="str">
            <v>พนักงานทั่วไป</v>
          </cell>
        </row>
        <row r="941">
          <cell r="B941">
            <v>6612002</v>
          </cell>
          <cell r="C941" t="str">
            <v>นายปุลวัชร เมินดี</v>
          </cell>
          <cell r="D941" t="str">
            <v>FMG-A</v>
          </cell>
          <cell r="E941" t="str">
            <v>รายวัน</v>
          </cell>
          <cell r="F941" t="str">
            <v>CAR</v>
          </cell>
          <cell r="G941" t="str">
            <v>พนักงานทั่วไป</v>
          </cell>
        </row>
        <row r="942">
          <cell r="B942" t="str">
            <v>6612003</v>
          </cell>
          <cell r="C942" t="str">
            <v>นายเกริกเกียรติ  โฉลกดี</v>
          </cell>
          <cell r="D942" t="str">
            <v>TFC</v>
          </cell>
          <cell r="E942" t="str">
            <v>รายเดือน</v>
          </cell>
          <cell r="F942" t="str">
            <v>CAR</v>
          </cell>
          <cell r="G942" t="str">
            <v>พนักงานทั่วไป</v>
          </cell>
        </row>
        <row r="943">
          <cell r="B943">
            <v>6612004</v>
          </cell>
          <cell r="C943" t="str">
            <v>นายสุชาติ  อุ่นศรี</v>
          </cell>
          <cell r="D943" t="str">
            <v>FMG-A</v>
          </cell>
          <cell r="E943" t="str">
            <v>รายวัน</v>
          </cell>
          <cell r="F943" t="str">
            <v>CAR</v>
          </cell>
          <cell r="G943" t="str">
            <v>พนักงานทั่วไป</v>
          </cell>
        </row>
        <row r="944">
          <cell r="B944" t="str">
            <v>6701001</v>
          </cell>
          <cell r="C944" t="str">
            <v>นายวันเฉลิม อินทะสร้อย</v>
          </cell>
          <cell r="D944" t="str">
            <v>STO</v>
          </cell>
          <cell r="E944" t="str">
            <v>รายเดือน</v>
          </cell>
          <cell r="F944" t="str">
            <v>CAR</v>
          </cell>
          <cell r="G944" t="str">
            <v>พนักงานทั่วไป</v>
          </cell>
        </row>
        <row r="945">
          <cell r="B945" t="str">
            <v>6701002K</v>
          </cell>
          <cell r="C945" t="str">
            <v>นายทัน</v>
          </cell>
          <cell r="D945" t="str">
            <v>FMG-A</v>
          </cell>
          <cell r="E945" t="str">
            <v>รายวัน</v>
          </cell>
          <cell r="F945" t="str">
            <v>Sub Contract</v>
          </cell>
          <cell r="G945" t="str">
            <v>พนักงานทั่วไป</v>
          </cell>
        </row>
        <row r="946">
          <cell r="B946" t="str">
            <v>6701003K</v>
          </cell>
          <cell r="C946" t="str">
            <v>นายคำฮัก</v>
          </cell>
          <cell r="D946" t="str">
            <v>FMG-A</v>
          </cell>
          <cell r="E946" t="str">
            <v>รายวัน</v>
          </cell>
          <cell r="F946" t="str">
            <v>Sub Contract</v>
          </cell>
          <cell r="G946" t="str">
            <v>พนักงานทั่วไป</v>
          </cell>
        </row>
        <row r="947">
          <cell r="B947" t="str">
            <v>6701004K</v>
          </cell>
          <cell r="C947" t="str">
            <v>นายบุญออน พิมมะจัน</v>
          </cell>
          <cell r="D947" t="str">
            <v>FMG-A</v>
          </cell>
          <cell r="E947" t="str">
            <v>รายวัน</v>
          </cell>
          <cell r="F947" t="str">
            <v>Sub Contract</v>
          </cell>
          <cell r="G947" t="str">
            <v>พนักงานทั่วไป</v>
          </cell>
        </row>
        <row r="948">
          <cell r="B948" t="str">
            <v>6701005K</v>
          </cell>
          <cell r="C948" t="str">
            <v>นายเดือน</v>
          </cell>
          <cell r="D948" t="str">
            <v>FMG-A</v>
          </cell>
          <cell r="E948" t="str">
            <v>รายวัน</v>
          </cell>
          <cell r="F948" t="str">
            <v>Sub Contract</v>
          </cell>
          <cell r="G948" t="str">
            <v>พนักงานทั่วไป</v>
          </cell>
        </row>
        <row r="949">
          <cell r="B949" t="str">
            <v>6701006K</v>
          </cell>
          <cell r="C949" t="str">
            <v>นางสาวโอบี</v>
          </cell>
          <cell r="D949" t="str">
            <v>FNG-4</v>
          </cell>
          <cell r="E949" t="str">
            <v>รายวัน</v>
          </cell>
          <cell r="F949" t="str">
            <v>Sub Contract</v>
          </cell>
          <cell r="G949" t="str">
            <v>พนักงานทั่วไป</v>
          </cell>
        </row>
        <row r="950">
          <cell r="B950" t="str">
            <v>6701007K</v>
          </cell>
          <cell r="C950" t="str">
            <v>นางบุญสะวัน</v>
          </cell>
          <cell r="D950" t="str">
            <v>TFC</v>
          </cell>
          <cell r="E950" t="str">
            <v>รายวัน</v>
          </cell>
          <cell r="F950" t="str">
            <v>Sub Contract</v>
          </cell>
          <cell r="G950" t="str">
            <v>พนักงานทั่วไป</v>
          </cell>
        </row>
        <row r="951">
          <cell r="B951" t="str">
            <v>6701008K</v>
          </cell>
          <cell r="C951" t="str">
            <v>นางสาวสีไค วิไลพอน</v>
          </cell>
          <cell r="D951" t="str">
            <v>FNG-4</v>
          </cell>
          <cell r="E951" t="str">
            <v>รายวัน</v>
          </cell>
          <cell r="F951" t="str">
            <v>Sub Contract</v>
          </cell>
          <cell r="G951" t="str">
            <v>พนักงานทั่วไป</v>
          </cell>
        </row>
        <row r="952">
          <cell r="B952" t="str">
            <v>6701009K</v>
          </cell>
          <cell r="C952" t="str">
            <v>นางสาวทอง</v>
          </cell>
          <cell r="D952" t="str">
            <v>TFC</v>
          </cell>
          <cell r="E952" t="str">
            <v>รายวัน</v>
          </cell>
          <cell r="F952" t="str">
            <v>Sub Contract</v>
          </cell>
          <cell r="G952" t="str">
            <v>พนักงานทั่วไป</v>
          </cell>
        </row>
        <row r="953">
          <cell r="B953" t="str">
            <v>6701010</v>
          </cell>
          <cell r="C953" t="str">
            <v>นางสาวจิตติมา เทียนฤกษ์</v>
          </cell>
          <cell r="D953" t="str">
            <v>TFC</v>
          </cell>
          <cell r="E953" t="str">
            <v>รายวัน</v>
          </cell>
          <cell r="F953" t="str">
            <v>CAR</v>
          </cell>
          <cell r="G953" t="str">
            <v>พนักงานทั่วไป</v>
          </cell>
        </row>
        <row r="954">
          <cell r="B954">
            <v>6701011</v>
          </cell>
          <cell r="C954" t="str">
            <v>นางสาวสุกัญญา สีสะกุล</v>
          </cell>
          <cell r="D954" t="str">
            <v>FNG-4</v>
          </cell>
          <cell r="E954" t="str">
            <v>รายวัน</v>
          </cell>
          <cell r="F954" t="str">
            <v>CAR</v>
          </cell>
          <cell r="G954" t="str">
            <v>พนักงานทั่วไป</v>
          </cell>
        </row>
        <row r="955">
          <cell r="B955" t="str">
            <v>6701012K</v>
          </cell>
          <cell r="C955" t="str">
            <v>นางสาวนาง พอนใส</v>
          </cell>
          <cell r="D955" t="str">
            <v>TFC</v>
          </cell>
          <cell r="E955" t="str">
            <v>รายวัน</v>
          </cell>
          <cell r="F955" t="str">
            <v>Sub Contract</v>
          </cell>
          <cell r="G955" t="str">
            <v>พนักงานทั่วไป</v>
          </cell>
        </row>
        <row r="956">
          <cell r="B956" t="str">
            <v>6701013K</v>
          </cell>
          <cell r="C956" t="str">
            <v>นางสาววัน สายคำ</v>
          </cell>
          <cell r="D956" t="str">
            <v>TFC</v>
          </cell>
          <cell r="E956" t="str">
            <v>รายวัน</v>
          </cell>
          <cell r="F956" t="str">
            <v>Sub Contract</v>
          </cell>
          <cell r="G956" t="str">
            <v>พนักงานทั่วไป</v>
          </cell>
        </row>
        <row r="957">
          <cell r="B957" t="str">
            <v>6701014K</v>
          </cell>
          <cell r="C957" t="str">
            <v>นางแพง แพงคำพัน</v>
          </cell>
          <cell r="D957" t="str">
            <v>FNG-4</v>
          </cell>
          <cell r="E957" t="str">
            <v>รายวัน</v>
          </cell>
          <cell r="F957" t="str">
            <v>Sub Contract</v>
          </cell>
          <cell r="G957" t="str">
            <v>พนักงานทั่วไป</v>
          </cell>
        </row>
        <row r="958">
          <cell r="B958" t="str">
            <v>6701015</v>
          </cell>
          <cell r="C958" t="str">
            <v>นางสาวพิศมัย น้อยเรือง</v>
          </cell>
          <cell r="D958" t="str">
            <v>FMG-A</v>
          </cell>
          <cell r="E958" t="str">
            <v>รายเดือน</v>
          </cell>
          <cell r="F958" t="str">
            <v>CAR</v>
          </cell>
          <cell r="G958" t="str">
            <v>พนักงานทั่วไป</v>
          </cell>
        </row>
        <row r="959">
          <cell r="B959" t="str">
            <v>6701016K</v>
          </cell>
          <cell r="C959" t="str">
            <v>นายโสก พันทะลังสี</v>
          </cell>
          <cell r="D959" t="str">
            <v>FMG-A</v>
          </cell>
          <cell r="E959" t="str">
            <v>รายวัน</v>
          </cell>
          <cell r="F959" t="str">
            <v>Sub Contract</v>
          </cell>
          <cell r="G959" t="str">
            <v>พนักงานทั่วไป</v>
          </cell>
        </row>
        <row r="960">
          <cell r="B960" t="str">
            <v>6702001</v>
          </cell>
          <cell r="C960" t="str">
            <v>นายณัฐวุฒิ  กฤษดานนท์</v>
          </cell>
          <cell r="D960" t="str">
            <v>EN</v>
          </cell>
          <cell r="E960" t="str">
            <v>รายเดือน</v>
          </cell>
          <cell r="F960" t="str">
            <v>CAR</v>
          </cell>
          <cell r="G960" t="str">
            <v>ผู้จัดการแผนก</v>
          </cell>
        </row>
        <row r="961">
          <cell r="B961" t="str">
            <v>6702002</v>
          </cell>
          <cell r="C961" t="str">
            <v>นายนาวิน ตุลาพิทักษ์</v>
          </cell>
          <cell r="D961" t="str">
            <v>PD</v>
          </cell>
          <cell r="E961" t="str">
            <v>รายเดือน</v>
          </cell>
          <cell r="F961" t="str">
            <v>CAR</v>
          </cell>
          <cell r="G961" t="str">
            <v>ผู้ช่วยผู้จัดการแผนก</v>
          </cell>
        </row>
        <row r="962">
          <cell r="B962" t="str">
            <v>6702003</v>
          </cell>
          <cell r="C962" t="str">
            <v>นางสาวอรพรรณ  เจริญสุข</v>
          </cell>
          <cell r="D962" t="str">
            <v>FIN&amp;ACC</v>
          </cell>
          <cell r="E962" t="str">
            <v>รายเดือน</v>
          </cell>
          <cell r="F962" t="str">
            <v>CAR</v>
          </cell>
          <cell r="G962" t="str">
            <v>เจ้าหน้าที่</v>
          </cell>
        </row>
        <row r="963">
          <cell r="B963" t="str">
            <v>6702004K</v>
          </cell>
          <cell r="C963" t="str">
            <v>นายสมลิด  สิมิไช</v>
          </cell>
          <cell r="D963" t="str">
            <v>FMG-B</v>
          </cell>
          <cell r="E963" t="str">
            <v>รายวัน</v>
          </cell>
          <cell r="F963" t="str">
            <v>Sub Contract</v>
          </cell>
          <cell r="G963" t="str">
            <v>พนักงานทั่วไป</v>
          </cell>
        </row>
        <row r="964">
          <cell r="B964" t="str">
            <v>6702005K</v>
          </cell>
          <cell r="C964" t="str">
            <v>นายหนูลัก  หมมะหาไช</v>
          </cell>
          <cell r="D964" t="str">
            <v>FMG-B</v>
          </cell>
          <cell r="E964" t="str">
            <v>รายวัน</v>
          </cell>
          <cell r="F964" t="str">
            <v>Sub Contract</v>
          </cell>
          <cell r="G964" t="str">
            <v>พนักงานทั่วไป</v>
          </cell>
        </row>
        <row r="965">
          <cell r="B965" t="str">
            <v>6702006K</v>
          </cell>
          <cell r="C965" t="str">
            <v>นางสาวบัวแก้ว  ปาสาลี</v>
          </cell>
          <cell r="D965" t="str">
            <v>TFC</v>
          </cell>
          <cell r="E965" t="str">
            <v>รายวัน</v>
          </cell>
          <cell r="F965" t="str">
            <v>Sub Contract</v>
          </cell>
          <cell r="G965" t="str">
            <v>พนักงานทั่วไป</v>
          </cell>
        </row>
        <row r="966">
          <cell r="B966" t="str">
            <v>6702007K</v>
          </cell>
          <cell r="C966" t="str">
            <v>นายโอเล่  ดวงปันยา</v>
          </cell>
          <cell r="D966" t="str">
            <v>FMG-B</v>
          </cell>
          <cell r="E966" t="str">
            <v>รายวัน</v>
          </cell>
          <cell r="F966" t="str">
            <v>Sub Contract</v>
          </cell>
          <cell r="G966" t="str">
            <v>พนักงานทั่วไป</v>
          </cell>
        </row>
        <row r="967">
          <cell r="B967" t="str">
            <v>6702008K</v>
          </cell>
          <cell r="C967" t="str">
            <v>นางสาวมีมี่  อินตะพอน</v>
          </cell>
          <cell r="D967" t="str">
            <v>TFC</v>
          </cell>
          <cell r="E967" t="str">
            <v>รายวัน</v>
          </cell>
          <cell r="F967" t="str">
            <v>Sub Contract</v>
          </cell>
          <cell r="G967" t="str">
            <v>พนักงานทั่วไป</v>
          </cell>
        </row>
        <row r="968">
          <cell r="B968" t="str">
            <v>6702009K</v>
          </cell>
          <cell r="C968" t="str">
            <v>นางสาวทองแหวน  แก้วสมบัด</v>
          </cell>
          <cell r="D968" t="str">
            <v>TFC</v>
          </cell>
          <cell r="E968" t="str">
            <v>รายวัน</v>
          </cell>
          <cell r="F968" t="str">
            <v>Sub Contract</v>
          </cell>
          <cell r="G968" t="str">
            <v>พนักงานทั่วไป</v>
          </cell>
        </row>
        <row r="969">
          <cell r="B969" t="str">
            <v>6702010</v>
          </cell>
          <cell r="C969" t="str">
            <v>นางสาวผดุงรัตน์  โคตรโยธา</v>
          </cell>
          <cell r="D969" t="str">
            <v>MK</v>
          </cell>
          <cell r="E969" t="str">
            <v>รายเดือน</v>
          </cell>
          <cell r="F969" t="str">
            <v>CAR</v>
          </cell>
          <cell r="G969" t="str">
            <v>เจ้าหน้าที่</v>
          </cell>
        </row>
        <row r="970">
          <cell r="B970" t="str">
            <v>6703001</v>
          </cell>
          <cell r="C970" t="str">
            <v>นางสาวปรียาพร ช่างบุ</v>
          </cell>
          <cell r="D970" t="str">
            <v>MK</v>
          </cell>
          <cell r="E970" t="str">
            <v>รายเดือน</v>
          </cell>
          <cell r="F970" t="str">
            <v>CAR</v>
          </cell>
          <cell r="G970" t="str">
            <v>เจ้าหน้าที่</v>
          </cell>
        </row>
        <row r="971">
          <cell r="B971" t="str">
            <v>6703002</v>
          </cell>
          <cell r="C971" t="str">
            <v>นางสาวศิริวรรณ รวมสันเทียะ</v>
          </cell>
          <cell r="D971" t="str">
            <v>QA/QC</v>
          </cell>
          <cell r="E971" t="str">
            <v>รายเดือน</v>
          </cell>
          <cell r="F971" t="str">
            <v>CAR</v>
          </cell>
          <cell r="G971" t="str">
            <v>หัวหน้าแผนก</v>
          </cell>
        </row>
        <row r="972">
          <cell r="B972" t="str">
            <v>6703003</v>
          </cell>
          <cell r="C972" t="str">
            <v>นายสิทธิวุฒิ รักบุญ</v>
          </cell>
          <cell r="D972" t="str">
            <v>EN</v>
          </cell>
          <cell r="E972" t="str">
            <v>รายเดือน</v>
          </cell>
          <cell r="F972" t="str">
            <v>CAR</v>
          </cell>
          <cell r="G972" t="str">
            <v>วิศวกรอาวุโส</v>
          </cell>
        </row>
        <row r="973">
          <cell r="B973" t="str">
            <v>6703004</v>
          </cell>
          <cell r="C973" t="str">
            <v>นางสาวเกศสุดา ปัญญะพิมพ์</v>
          </cell>
          <cell r="D973" t="str">
            <v>MK</v>
          </cell>
          <cell r="E973" t="str">
            <v>รายเดือน</v>
          </cell>
          <cell r="F973" t="str">
            <v>CAR</v>
          </cell>
          <cell r="G973" t="str">
            <v>เจ้าหน้าที่</v>
          </cell>
        </row>
        <row r="974">
          <cell r="B974" t="str">
            <v>6704001</v>
          </cell>
          <cell r="C974" t="str">
            <v>นางสาวฉัตรกมล  ผลอำไพ</v>
          </cell>
          <cell r="D974" t="str">
            <v>HR&amp;GA/ IT</v>
          </cell>
          <cell r="E974" t="str">
            <v>รายเดือน</v>
          </cell>
          <cell r="F974" t="str">
            <v>CAR</v>
          </cell>
          <cell r="G974" t="str">
            <v>ผู้ช่วยเลขานุการ</v>
          </cell>
        </row>
        <row r="975">
          <cell r="B975" t="str">
            <v>6704002</v>
          </cell>
          <cell r="C975" t="str">
            <v>นาย สุระมนตรี ฐิติกุล</v>
          </cell>
          <cell r="D975" t="str">
            <v>PD</v>
          </cell>
          <cell r="E975" t="str">
            <v>รายเดือน</v>
          </cell>
          <cell r="F975" t="str">
            <v>CAR</v>
          </cell>
          <cell r="G975" t="str">
            <v>ผู้จัดการ</v>
          </cell>
        </row>
        <row r="976">
          <cell r="B976" t="str">
            <v>6704003</v>
          </cell>
          <cell r="C976" t="str">
            <v>นางสาว นัตติยา สุวรรณรี</v>
          </cell>
          <cell r="D976" t="str">
            <v>QA/QC</v>
          </cell>
          <cell r="E976" t="str">
            <v>รายเดือน</v>
          </cell>
          <cell r="F976" t="str">
            <v>CAR</v>
          </cell>
          <cell r="G976" t="str">
            <v>เจ้าหน้าที่อาวุโส</v>
          </cell>
        </row>
        <row r="977">
          <cell r="B977" t="str">
            <v>6704004</v>
          </cell>
          <cell r="C977" t="str">
            <v>นาย อาณัติ เขตชัยภูมิ</v>
          </cell>
          <cell r="D977" t="str">
            <v>PD</v>
          </cell>
          <cell r="E977" t="str">
            <v>รายเดือน</v>
          </cell>
          <cell r="F977" t="str">
            <v>CAR</v>
          </cell>
          <cell r="G977" t="str">
            <v>หัวหน้าแผนก</v>
          </cell>
        </row>
        <row r="978">
          <cell r="B978" t="str">
            <v>6704005</v>
          </cell>
          <cell r="C978" t="str">
            <v>นาย พันธวิศ  กว้างนอก</v>
          </cell>
          <cell r="D978" t="str">
            <v>QA/QC</v>
          </cell>
          <cell r="E978" t="str">
            <v>รายเดือน</v>
          </cell>
          <cell r="F978" t="str">
            <v>CAR</v>
          </cell>
          <cell r="G978" t="str">
            <v>หัวหน้าแผนก</v>
          </cell>
        </row>
        <row r="979">
          <cell r="B979" t="str">
            <v>6704006</v>
          </cell>
          <cell r="C979" t="str">
            <v>นางสาว รริดา ชลยุทธ</v>
          </cell>
          <cell r="D979" t="str">
            <v>PC</v>
          </cell>
          <cell r="E979" t="str">
            <v>รายเดือน</v>
          </cell>
          <cell r="F979" t="str">
            <v>CAR</v>
          </cell>
          <cell r="G979" t="str">
            <v>เจ้าหน้าที่</v>
          </cell>
        </row>
        <row r="980">
          <cell r="B980" t="str">
            <v>6704007</v>
          </cell>
          <cell r="C980" t="str">
            <v>นางสาวอลิศา ชะนะมา</v>
          </cell>
          <cell r="D980" t="str">
            <v>R &amp; D</v>
          </cell>
          <cell r="E980" t="str">
            <v>รายเดือน</v>
          </cell>
          <cell r="F980" t="str">
            <v>CAR</v>
          </cell>
          <cell r="G980" t="str">
            <v>ผู้จัดการ</v>
          </cell>
        </row>
        <row r="981">
          <cell r="B981" t="str">
            <v>6705001</v>
          </cell>
          <cell r="C981" t="str">
            <v>นางสาวถนอมนวล นาคภักดี</v>
          </cell>
          <cell r="D981" t="str">
            <v>R &amp; D</v>
          </cell>
          <cell r="E981" t="str">
            <v>รายเดือน</v>
          </cell>
          <cell r="F981" t="str">
            <v>CAR</v>
          </cell>
          <cell r="G981" t="str">
            <v>วิศวกรอาวุโส</v>
          </cell>
        </row>
        <row r="982">
          <cell r="B982" t="str">
            <v>6705002</v>
          </cell>
          <cell r="C982" t="str">
            <v>นายกฤตยชย์ จงมีศิลป์</v>
          </cell>
          <cell r="D982" t="str">
            <v>EN</v>
          </cell>
          <cell r="E982" t="str">
            <v>รายเดือน</v>
          </cell>
          <cell r="F982" t="str">
            <v>CAR</v>
          </cell>
          <cell r="G982" t="str">
            <v>วิศวกรอาวุโส</v>
          </cell>
        </row>
        <row r="983">
          <cell r="B983" t="str">
            <v>6705003</v>
          </cell>
          <cell r="C983" t="str">
            <v>นางสาวเสาวนีย์ ศรีสัมฤทธิ์</v>
          </cell>
          <cell r="D983" t="str">
            <v>FIN&amp;ACC</v>
          </cell>
          <cell r="E983" t="str">
            <v>รายเดือน</v>
          </cell>
          <cell r="F983" t="str">
            <v>CAR</v>
          </cell>
          <cell r="G983" t="str">
            <v>เจ้าหน้าที่</v>
          </cell>
        </row>
        <row r="984">
          <cell r="B984" t="str">
            <v>6705004</v>
          </cell>
          <cell r="C984" t="str">
            <v>นางสาวศรสวรรค์ หงษ์บุญ</v>
          </cell>
          <cell r="D984" t="str">
            <v>EN</v>
          </cell>
          <cell r="E984" t="str">
            <v>รายเดือน</v>
          </cell>
          <cell r="F984" t="str">
            <v>CAR</v>
          </cell>
          <cell r="G984" t="str">
            <v>วิศวกร</v>
          </cell>
        </row>
        <row r="985">
          <cell r="B985" t="str">
            <v>6706001</v>
          </cell>
          <cell r="C985" t="str">
            <v>นางสาวศรัญญา ลือสมศรี</v>
          </cell>
          <cell r="D985" t="str">
            <v>FIN&amp;ACC</v>
          </cell>
          <cell r="E985" t="str">
            <v>รายเดือน</v>
          </cell>
          <cell r="F985" t="str">
            <v>CAR</v>
          </cell>
          <cell r="G985" t="str">
            <v>เจ้าหน้าที่</v>
          </cell>
        </row>
        <row r="986">
          <cell r="B986" t="str">
            <v>6707001</v>
          </cell>
          <cell r="C986" t="str">
            <v>นางสาวจันทรวิมล สว่างจิตต์</v>
          </cell>
          <cell r="D986" t="str">
            <v>FIN&amp;ACC</v>
          </cell>
          <cell r="E986" t="str">
            <v>รายเดือน</v>
          </cell>
          <cell r="F986" t="str">
            <v>CAR</v>
          </cell>
          <cell r="G986" t="str">
            <v>เจ้าหน้าที่</v>
          </cell>
        </row>
        <row r="987">
          <cell r="B987" t="str">
            <v>6707002</v>
          </cell>
          <cell r="C987" t="str">
            <v>นายวัฒนชัย อวรัญ</v>
          </cell>
          <cell r="D987" t="str">
            <v>EN</v>
          </cell>
          <cell r="E987" t="str">
            <v>รายเดือน</v>
          </cell>
          <cell r="F987" t="str">
            <v>CAR</v>
          </cell>
          <cell r="G987" t="str">
            <v>วิศวกร</v>
          </cell>
        </row>
        <row r="988">
          <cell r="B988" t="str">
            <v>6708001</v>
          </cell>
          <cell r="C988" t="str">
            <v>นายนที หมวกเหล็ก</v>
          </cell>
          <cell r="D988" t="str">
            <v>MK</v>
          </cell>
          <cell r="E988" t="str">
            <v>รายเดือน</v>
          </cell>
          <cell r="F988" t="str">
            <v>CAR</v>
          </cell>
          <cell r="G988" t="str">
            <v>หัวหน้าแผนกอาวุโส</v>
          </cell>
        </row>
        <row r="989">
          <cell r="B989" t="str">
            <v>6708002</v>
          </cell>
          <cell r="C989" t="str">
            <v>นายคินากร พิมพ์โคตร</v>
          </cell>
          <cell r="D989" t="str">
            <v>MIX</v>
          </cell>
          <cell r="E989" t="str">
            <v>รายเดือน</v>
          </cell>
          <cell r="F989" t="str">
            <v>CAR</v>
          </cell>
          <cell r="G989" t="str">
            <v>พนักงานทั่วไป</v>
          </cell>
        </row>
        <row r="990">
          <cell r="B990" t="str">
            <v>6708003</v>
          </cell>
          <cell r="C990" t="str">
            <v>นายวัชระพล ศาลางาม</v>
          </cell>
          <cell r="D990" t="str">
            <v>FMG-A</v>
          </cell>
          <cell r="E990" t="str">
            <v>รายเดือน</v>
          </cell>
          <cell r="F990" t="str">
            <v>CAR</v>
          </cell>
          <cell r="G990" t="str">
            <v>Set up mold</v>
          </cell>
        </row>
        <row r="991">
          <cell r="B991" t="str">
            <v>6708004</v>
          </cell>
          <cell r="C991" t="str">
            <v>นายโกสิทธิ์ แก่นเมือง</v>
          </cell>
          <cell r="D991" t="str">
            <v>MT</v>
          </cell>
          <cell r="E991" t="str">
            <v>รายเดือน</v>
          </cell>
          <cell r="F991" t="str">
            <v>CAR</v>
          </cell>
          <cell r="G991" t="str">
            <v>ช่างซ่อมบำรุง</v>
          </cell>
        </row>
        <row r="992">
          <cell r="B992" t="str">
            <v>6708005</v>
          </cell>
          <cell r="C992" t="str">
            <v>นายศิลาชาติ เมียดธิมาตย์</v>
          </cell>
          <cell r="D992" t="str">
            <v>EXT</v>
          </cell>
          <cell r="E992" t="str">
            <v>รายวัน</v>
          </cell>
          <cell r="F992" t="str">
            <v>CAR</v>
          </cell>
          <cell r="G992" t="str">
            <v>พนักงานทั่วไป</v>
          </cell>
        </row>
        <row r="993">
          <cell r="B993" t="str">
            <v>6708006</v>
          </cell>
          <cell r="C993" t="str">
            <v>นายวัรชพงษ์ สีพระเคียง</v>
          </cell>
          <cell r="D993" t="str">
            <v>STO</v>
          </cell>
          <cell r="E993" t="str">
            <v>รายวัน</v>
          </cell>
          <cell r="F993" t="str">
            <v>CAR</v>
          </cell>
          <cell r="G993" t="str">
            <v>พนักงานทั่วไป</v>
          </cell>
        </row>
        <row r="994">
          <cell r="B994" t="str">
            <v>6708007</v>
          </cell>
          <cell r="C994" t="str">
            <v>นายสุชาติ ทองน้อย</v>
          </cell>
          <cell r="D994" t="str">
            <v>MIX</v>
          </cell>
          <cell r="E994" t="str">
            <v>รายเดือน</v>
          </cell>
          <cell r="F994" t="str">
            <v>CAR</v>
          </cell>
          <cell r="G994" t="str">
            <v>พนักงานทั่วไป</v>
          </cell>
        </row>
        <row r="995">
          <cell r="B995" t="str">
            <v>6709001</v>
          </cell>
          <cell r="C995" t="str">
            <v>นายธนศักดิ์ นิตย์ลาภ</v>
          </cell>
          <cell r="D995" t="str">
            <v>STO</v>
          </cell>
          <cell r="E995" t="str">
            <v>รายวัน</v>
          </cell>
          <cell r="F995" t="str">
            <v>CAR</v>
          </cell>
          <cell r="G995" t="str">
            <v>พนักงานทั่วไป</v>
          </cell>
        </row>
        <row r="996">
          <cell r="B996" t="str">
            <v>6709002</v>
          </cell>
          <cell r="C996" t="str">
            <v>นางสาวนิตติญา   สายสิงห์</v>
          </cell>
          <cell r="D996" t="str">
            <v>FMG-A</v>
          </cell>
          <cell r="E996" t="str">
            <v>รายวัน</v>
          </cell>
          <cell r="F996" t="str">
            <v>CAR</v>
          </cell>
          <cell r="G996" t="str">
            <v>พนักงานทั่วไป</v>
          </cell>
        </row>
        <row r="997">
          <cell r="B997" t="str">
            <v>6709003K</v>
          </cell>
          <cell r="C997" t="str">
            <v>นายพวง แก้วพิลาวัน</v>
          </cell>
          <cell r="D997" t="str">
            <v>CUT</v>
          </cell>
          <cell r="E997" t="str">
            <v>รายวัน</v>
          </cell>
          <cell r="F997" t="str">
            <v>Sub Contract</v>
          </cell>
          <cell r="G997" t="str">
            <v>พนักงานทั่วไป</v>
          </cell>
        </row>
        <row r="998">
          <cell r="B998" t="str">
            <v>6709004</v>
          </cell>
          <cell r="C998" t="str">
            <v>นายชนาธิป เขียวโน</v>
          </cell>
          <cell r="D998" t="str">
            <v>MIX</v>
          </cell>
          <cell r="E998" t="str">
            <v>รายเดือน</v>
          </cell>
          <cell r="F998" t="str">
            <v>CAR</v>
          </cell>
          <cell r="G998" t="str">
            <v>พนักงานทั่วไป</v>
          </cell>
        </row>
        <row r="999">
          <cell r="B999" t="str">
            <v>6709005</v>
          </cell>
          <cell r="C999" t="str">
            <v>นายอภิชัย ดงหิงส์</v>
          </cell>
          <cell r="D999" t="str">
            <v>FMG-B</v>
          </cell>
          <cell r="E999" t="str">
            <v>รายวัน</v>
          </cell>
          <cell r="F999" t="str">
            <v>CAR</v>
          </cell>
          <cell r="G999" t="str">
            <v>พนักงานทั่วไป</v>
          </cell>
        </row>
        <row r="1000">
          <cell r="B1000" t="str">
            <v>6709006</v>
          </cell>
          <cell r="C1000" t="str">
            <v>นายสุรเชษฐ์  นารา</v>
          </cell>
          <cell r="D1000" t="str">
            <v>FMG-A</v>
          </cell>
          <cell r="E1000" t="str">
            <v>รายวัน</v>
          </cell>
          <cell r="F1000" t="str">
            <v>CAR</v>
          </cell>
          <cell r="G1000" t="str">
            <v>พนักงานทั่วไป</v>
          </cell>
        </row>
        <row r="1001">
          <cell r="B1001" t="str">
            <v>6709007</v>
          </cell>
          <cell r="C1001" t="str">
            <v>นายชัชวาลย์ คุณยง</v>
          </cell>
          <cell r="D1001" t="str">
            <v>FMG-B</v>
          </cell>
          <cell r="E1001" t="str">
            <v>รายวัน</v>
          </cell>
          <cell r="F1001" t="str">
            <v>CAR</v>
          </cell>
          <cell r="G1001" t="str">
            <v>พนักงานทั่วไป</v>
          </cell>
        </row>
        <row r="1002">
          <cell r="B1002" t="str">
            <v>6709008</v>
          </cell>
          <cell r="C1002" t="str">
            <v>นายวิศวะ  เกษร</v>
          </cell>
          <cell r="D1002" t="str">
            <v>FMG-B</v>
          </cell>
          <cell r="E1002" t="str">
            <v>รายวัน</v>
          </cell>
          <cell r="F1002" t="str">
            <v>CAR</v>
          </cell>
          <cell r="G1002" t="str">
            <v>พนักงานทั่วไป</v>
          </cell>
        </row>
        <row r="1003">
          <cell r="B1003" t="str">
            <v>6710001K</v>
          </cell>
          <cell r="C1003" t="str">
            <v>นายสมเพ็ด บุนทะวี</v>
          </cell>
          <cell r="D1003" t="str">
            <v>FMG-B</v>
          </cell>
          <cell r="E1003" t="str">
            <v>รายวัน</v>
          </cell>
          <cell r="F1003" t="str">
            <v>Sub Contract</v>
          </cell>
          <cell r="G1003" t="str">
            <v>พนักงานทั่วไป</v>
          </cell>
        </row>
        <row r="1004">
          <cell r="B1004" t="str">
            <v>6710002K</v>
          </cell>
          <cell r="C1004" t="str">
            <v>นายอือ คุนสุลิสัก</v>
          </cell>
          <cell r="D1004" t="str">
            <v>EXT</v>
          </cell>
          <cell r="E1004" t="str">
            <v>รายวัน</v>
          </cell>
          <cell r="F1004" t="str">
            <v>Sub Contract</v>
          </cell>
          <cell r="G1004" t="str">
            <v>พนักงานทั่วไป</v>
          </cell>
        </row>
        <row r="1005">
          <cell r="B1005" t="str">
            <v>6710003</v>
          </cell>
          <cell r="C1005" t="str">
            <v>นางสาวธิดาวรรณ วงค์ตรี</v>
          </cell>
          <cell r="D1005" t="str">
            <v>STO</v>
          </cell>
          <cell r="E1005" t="str">
            <v>รายวัน</v>
          </cell>
          <cell r="F1005" t="str">
            <v>CAR</v>
          </cell>
          <cell r="G1005" t="str">
            <v>พนักงานทั่วไป</v>
          </cell>
        </row>
        <row r="1006">
          <cell r="B1006" t="str">
            <v>6710004</v>
          </cell>
          <cell r="C1006" t="str">
            <v>นายพชร กสิโกศล</v>
          </cell>
          <cell r="D1006" t="str">
            <v>DELIV</v>
          </cell>
          <cell r="E1006" t="str">
            <v>รายเดือน</v>
          </cell>
          <cell r="F1006" t="str">
            <v>CAR</v>
          </cell>
          <cell r="G1006" t="str">
            <v>เจ้าหน้าที่</v>
          </cell>
        </row>
        <row r="1007">
          <cell r="B1007" t="str">
            <v>6710005</v>
          </cell>
          <cell r="C1007" t="str">
            <v>นายกฤษฎา จำรัส</v>
          </cell>
          <cell r="D1007" t="str">
            <v>EN</v>
          </cell>
          <cell r="E1007" t="str">
            <v>รายเดือน</v>
          </cell>
          <cell r="F1007" t="str">
            <v>CAR</v>
          </cell>
          <cell r="G1007" t="str">
            <v>ผู้จัดการแผนก</v>
          </cell>
        </row>
        <row r="1008">
          <cell r="B1008" t="str">
            <v>6710006</v>
          </cell>
          <cell r="C1008" t="str">
            <v>นายณัฐพล มารศรี</v>
          </cell>
          <cell r="D1008" t="str">
            <v>QA/QC</v>
          </cell>
          <cell r="E1008" t="str">
            <v>รายเดือน</v>
          </cell>
          <cell r="F1008" t="str">
            <v>CAR</v>
          </cell>
          <cell r="G1008" t="str">
            <v>QC Inprocess</v>
          </cell>
        </row>
        <row r="1009">
          <cell r="B1009">
            <v>6710007</v>
          </cell>
          <cell r="C1009" t="str">
            <v>นายชัยพฤกษ์ สามิตร</v>
          </cell>
          <cell r="D1009" t="str">
            <v>MIX</v>
          </cell>
          <cell r="E1009" t="str">
            <v>รายเดือน</v>
          </cell>
          <cell r="F1009" t="str">
            <v>CAR</v>
          </cell>
          <cell r="G1009" t="str">
            <v>พนักงานทั่วไป</v>
          </cell>
        </row>
        <row r="1010">
          <cell r="B1010" t="str">
            <v>6710008</v>
          </cell>
          <cell r="C1010" t="str">
            <v>นายนัฐพล จันดาผล</v>
          </cell>
          <cell r="D1010" t="str">
            <v>MIX</v>
          </cell>
          <cell r="E1010" t="str">
            <v>รายเดือน</v>
          </cell>
          <cell r="F1010" t="str">
            <v>CAR</v>
          </cell>
          <cell r="G1010" t="str">
            <v>พนักงานทั่วไป</v>
          </cell>
        </row>
        <row r="1011">
          <cell r="B1011" t="str">
            <v>6710009</v>
          </cell>
          <cell r="C1011" t="str">
            <v>นางสาววียารัตน์ สิงห์ป้อง</v>
          </cell>
          <cell r="D1011" t="str">
            <v>PC</v>
          </cell>
          <cell r="E1011" t="str">
            <v>รายเดือน</v>
          </cell>
          <cell r="F1011" t="str">
            <v>CAR</v>
          </cell>
          <cell r="G1011" t="str">
            <v>เจ้าหน้าที่</v>
          </cell>
        </row>
        <row r="1012">
          <cell r="B1012" t="str">
            <v>6710010</v>
          </cell>
          <cell r="C1012" t="str">
            <v>นายสุริยะ แก้วธานี</v>
          </cell>
          <cell r="D1012" t="str">
            <v>PD</v>
          </cell>
          <cell r="E1012" t="str">
            <v>รายเดือน</v>
          </cell>
          <cell r="F1012" t="str">
            <v>CAR</v>
          </cell>
          <cell r="G1012" t="str">
            <v>ผู้จัดการแผนก</v>
          </cell>
        </row>
        <row r="1013">
          <cell r="B1013" t="str">
            <v>6710011</v>
          </cell>
          <cell r="C1013" t="str">
            <v>นายอภิสิทธิ์ ผะดาศรี</v>
          </cell>
          <cell r="D1013" t="str">
            <v>FMG-B</v>
          </cell>
          <cell r="E1013" t="str">
            <v>รายเดือน</v>
          </cell>
          <cell r="F1013" t="str">
            <v>CAR</v>
          </cell>
          <cell r="G1013" t="str">
            <v>Set up mold</v>
          </cell>
        </row>
        <row r="1014">
          <cell r="B1014" t="str">
            <v>6710012</v>
          </cell>
          <cell r="C1014" t="str">
            <v>นายพิพัฒน์พล กัลยาบุตร</v>
          </cell>
          <cell r="D1014" t="str">
            <v>MT</v>
          </cell>
          <cell r="E1014" t="str">
            <v>รายเดือน</v>
          </cell>
          <cell r="F1014" t="str">
            <v>CAR</v>
          </cell>
          <cell r="G1014" t="str">
            <v>ช่างซ่อมบำรุง</v>
          </cell>
        </row>
        <row r="1015">
          <cell r="B1015" t="str">
            <v>6710013</v>
          </cell>
          <cell r="C1015" t="str">
            <v>นายธนาวุฒิ ศรีคำเวียง</v>
          </cell>
          <cell r="D1015" t="str">
            <v>FMG-B</v>
          </cell>
          <cell r="E1015" t="str">
            <v>รายวัน</v>
          </cell>
          <cell r="F1015" t="str">
            <v>CAR</v>
          </cell>
          <cell r="G1015" t="str">
            <v>พนักงานทั่วไป</v>
          </cell>
        </row>
        <row r="1016">
          <cell r="B1016">
            <v>6710014</v>
          </cell>
          <cell r="C1016" t="str">
            <v>นายมงคลเพชร ภูนนทา</v>
          </cell>
          <cell r="D1016" t="str">
            <v>CUT</v>
          </cell>
          <cell r="E1016" t="str">
            <v>รายวัน</v>
          </cell>
          <cell r="F1016" t="str">
            <v>CAR</v>
          </cell>
          <cell r="G1016" t="str">
            <v>พนักงานทั่วไป</v>
          </cell>
        </row>
        <row r="1017">
          <cell r="B1017">
            <v>6710015</v>
          </cell>
          <cell r="C1017" t="str">
            <v>นายธราพงษ์ คำเขิน</v>
          </cell>
          <cell r="D1017" t="str">
            <v>FMG-B</v>
          </cell>
          <cell r="E1017" t="str">
            <v>รายวัน</v>
          </cell>
          <cell r="F1017" t="str">
            <v>CAR</v>
          </cell>
          <cell r="G1017" t="str">
            <v>พนักงานทั่วไป</v>
          </cell>
        </row>
        <row r="1018">
          <cell r="B1018" t="str">
            <v>6710016</v>
          </cell>
          <cell r="C1018" t="str">
            <v>นายโฉม พรมเทพ</v>
          </cell>
          <cell r="D1018" t="str">
            <v>FMG-B</v>
          </cell>
          <cell r="E1018" t="str">
            <v>รายวัน</v>
          </cell>
          <cell r="F1018" t="str">
            <v>CAR</v>
          </cell>
          <cell r="G1018" t="str">
            <v>พนักงานทั่วไป</v>
          </cell>
        </row>
        <row r="1019">
          <cell r="B1019">
            <v>6711001</v>
          </cell>
          <cell r="C1019" t="str">
            <v>นายพรเจตน์ วิชัยกูล</v>
          </cell>
          <cell r="D1019" t="str">
            <v>FMG-B</v>
          </cell>
          <cell r="E1019" t="str">
            <v>รายวัน</v>
          </cell>
          <cell r="F1019" t="str">
            <v>CAR</v>
          </cell>
          <cell r="G1019" t="str">
            <v>พนักงานทั่วไป</v>
          </cell>
        </row>
        <row r="1020">
          <cell r="B1020">
            <v>6711002</v>
          </cell>
          <cell r="C1020" t="str">
            <v>นายสุวัฒนะ ทรงศรี</v>
          </cell>
          <cell r="D1020" t="str">
            <v>CUT</v>
          </cell>
          <cell r="E1020" t="str">
            <v>รายวัน</v>
          </cell>
          <cell r="F1020" t="str">
            <v>CAR</v>
          </cell>
          <cell r="G1020" t="str">
            <v>พนักงานทั่วไป</v>
          </cell>
        </row>
        <row r="1021">
          <cell r="B1021">
            <v>6711003</v>
          </cell>
          <cell r="C1021" t="str">
            <v>นายเจษณรงค์ ชื่นอารมณ์</v>
          </cell>
          <cell r="D1021" t="str">
            <v>FMG-A</v>
          </cell>
          <cell r="E1021" t="str">
            <v>รายวัน</v>
          </cell>
          <cell r="F1021" t="str">
            <v>CAR</v>
          </cell>
          <cell r="G1021" t="str">
            <v>พนักงานทั่วไป</v>
          </cell>
        </row>
        <row r="1022">
          <cell r="B1022">
            <v>6711004</v>
          </cell>
          <cell r="C1022" t="str">
            <v>นายสราวุธ ดัชถุยาวัตร</v>
          </cell>
          <cell r="D1022" t="str">
            <v>FMG-A</v>
          </cell>
          <cell r="E1022" t="str">
            <v>รายวัน</v>
          </cell>
          <cell r="F1022" t="str">
            <v>CAR</v>
          </cell>
          <cell r="G1022" t="str">
            <v>พนักงานทั่วไป</v>
          </cell>
        </row>
        <row r="1023">
          <cell r="B1023" t="str">
            <v>6711005</v>
          </cell>
          <cell r="C1023" t="str">
            <v>นายธนากร ศักดิ์ศรีเท้า</v>
          </cell>
          <cell r="D1023" t="str">
            <v>EXT</v>
          </cell>
          <cell r="E1023" t="str">
            <v>รายวัน</v>
          </cell>
          <cell r="F1023" t="str">
            <v>CAR</v>
          </cell>
          <cell r="G1023" t="str">
            <v>พนักงานทั่วไป</v>
          </cell>
        </row>
        <row r="1024">
          <cell r="B1024">
            <v>6711006</v>
          </cell>
          <cell r="C1024" t="str">
            <v>นางสาวศิริวรรณ ชำนาญพุดซา</v>
          </cell>
          <cell r="D1024" t="str">
            <v>QA/QC</v>
          </cell>
          <cell r="E1024" t="str">
            <v>รายเดือน</v>
          </cell>
          <cell r="F1024" t="str">
            <v>CAR</v>
          </cell>
          <cell r="G1024" t="str">
            <v>QC Line</v>
          </cell>
        </row>
        <row r="1025">
          <cell r="B1025" t="str">
            <v>6711007</v>
          </cell>
          <cell r="C1025" t="str">
            <v>นายจักรกฤษณ์ แสงงาม</v>
          </cell>
          <cell r="D1025" t="str">
            <v>MK</v>
          </cell>
          <cell r="E1025" t="str">
            <v>รายเดือน</v>
          </cell>
          <cell r="F1025" t="str">
            <v>CAR</v>
          </cell>
          <cell r="G1025" t="str">
            <v>ผู้จัดการแผนก</v>
          </cell>
        </row>
        <row r="1026">
          <cell r="B1026">
            <v>6711008</v>
          </cell>
          <cell r="C1026" t="str">
            <v>นางสาววิไลพร ฉลูศรี</v>
          </cell>
          <cell r="D1026" t="str">
            <v>QA/QC</v>
          </cell>
          <cell r="E1026" t="str">
            <v>รายเดือน</v>
          </cell>
          <cell r="F1026" t="str">
            <v>CAR</v>
          </cell>
          <cell r="G1026" t="str">
            <v>QC Line</v>
          </cell>
        </row>
        <row r="1027">
          <cell r="B1027" t="str">
            <v>6711009</v>
          </cell>
          <cell r="C1027" t="str">
            <v>นายอาเขต ยุระเทศ</v>
          </cell>
          <cell r="D1027" t="str">
            <v>CUT</v>
          </cell>
          <cell r="E1027" t="str">
            <v>รายวัน</v>
          </cell>
          <cell r="F1027" t="str">
            <v>CAR</v>
          </cell>
          <cell r="G1027" t="str">
            <v>พนักงานทั่วไป</v>
          </cell>
        </row>
        <row r="1028">
          <cell r="B1028" t="str">
            <v>6712001</v>
          </cell>
          <cell r="C1028" t="str">
            <v>นางสาวนันทนา ภูผันผิน</v>
          </cell>
          <cell r="D1028" t="str">
            <v>FNG-4</v>
          </cell>
          <cell r="E1028" t="str">
            <v>รายวัน</v>
          </cell>
          <cell r="F1028" t="str">
            <v>CAR</v>
          </cell>
          <cell r="G1028" t="str">
            <v>พนักงานทั่วไป</v>
          </cell>
        </row>
        <row r="1029">
          <cell r="B1029" t="str">
            <v>6712002K</v>
          </cell>
          <cell r="C1029" t="str">
            <v>นายแอ บุญสาย</v>
          </cell>
          <cell r="D1029" t="str">
            <v>FMG-A</v>
          </cell>
          <cell r="E1029" t="str">
            <v>รายวัน</v>
          </cell>
          <cell r="F1029" t="str">
            <v>Sub Contract</v>
          </cell>
          <cell r="G1029" t="str">
            <v>พนักงานทั่วไป</v>
          </cell>
        </row>
        <row r="1030">
          <cell r="B1030" t="str">
            <v>6712003K</v>
          </cell>
          <cell r="C1030" t="str">
            <v>นายทืม ตะมอง</v>
          </cell>
          <cell r="D1030" t="str">
            <v>FMG-A</v>
          </cell>
          <cell r="E1030" t="str">
            <v>รายวัน</v>
          </cell>
          <cell r="F1030" t="str">
            <v>Sub Contract</v>
          </cell>
          <cell r="G1030" t="str">
            <v>พนักงานทั่วไป</v>
          </cell>
        </row>
        <row r="1031">
          <cell r="B1031" t="str">
            <v>6712004K</v>
          </cell>
          <cell r="C1031" t="str">
            <v>นายมี -</v>
          </cell>
          <cell r="D1031" t="str">
            <v>FMG-A</v>
          </cell>
          <cell r="E1031" t="str">
            <v>รายวัน</v>
          </cell>
          <cell r="F1031" t="str">
            <v>Sub Contract</v>
          </cell>
          <cell r="G1031" t="str">
            <v>พนักงานทั่วไป</v>
          </cell>
        </row>
        <row r="1032">
          <cell r="B1032" t="str">
            <v>6712005</v>
          </cell>
          <cell r="C1032" t="str">
            <v>นายปฤษฎี รุ่งชีวัน</v>
          </cell>
          <cell r="D1032" t="str">
            <v>EN</v>
          </cell>
          <cell r="E1032" t="str">
            <v>รายเดือน</v>
          </cell>
          <cell r="F1032" t="str">
            <v>CAR</v>
          </cell>
          <cell r="G1032" t="str">
            <v>วิศวกร</v>
          </cell>
        </row>
        <row r="1033">
          <cell r="B1033" t="str">
            <v>6712006</v>
          </cell>
          <cell r="C1033" t="str">
            <v>นายณัฐตะวัน เมืองเดช</v>
          </cell>
          <cell r="D1033" t="str">
            <v>EXT</v>
          </cell>
          <cell r="E1033" t="str">
            <v>รายวัน</v>
          </cell>
          <cell r="F1033" t="str">
            <v>CAR</v>
          </cell>
          <cell r="G1033" t="str">
            <v>พนักงานทั่วไป</v>
          </cell>
        </row>
        <row r="1034">
          <cell r="B1034" t="str">
            <v>6712007</v>
          </cell>
          <cell r="C1034" t="str">
            <v>นายบุญสนอง พรมวงษ์</v>
          </cell>
          <cell r="D1034" t="str">
            <v>PD</v>
          </cell>
          <cell r="E1034" t="str">
            <v>รายเดือน</v>
          </cell>
          <cell r="F1034" t="str">
            <v>CAR</v>
          </cell>
          <cell r="G1034" t="str">
            <v>หัวหน้าแผนกอาวุโส</v>
          </cell>
        </row>
        <row r="1035">
          <cell r="B1035">
            <v>6712008</v>
          </cell>
          <cell r="C1035" t="str">
            <v>นายธนากร บริสุทธิ์</v>
          </cell>
          <cell r="D1035" t="str">
            <v>EXT</v>
          </cell>
          <cell r="E1035" t="str">
            <v>รายวัน</v>
          </cell>
          <cell r="F1035" t="str">
            <v>CAR</v>
          </cell>
          <cell r="G1035" t="str">
            <v>พนักงานทั่วไป</v>
          </cell>
        </row>
        <row r="1036">
          <cell r="B1036">
            <v>6712009</v>
          </cell>
          <cell r="C1036" t="str">
            <v>นายธนพล ลาดนอก</v>
          </cell>
          <cell r="D1036" t="str">
            <v>FMG-B</v>
          </cell>
          <cell r="E1036" t="str">
            <v>รายวัน</v>
          </cell>
          <cell r="F1036" t="str">
            <v>CAR</v>
          </cell>
          <cell r="G1036" t="str">
            <v>พนักงานทั่วไป</v>
          </cell>
        </row>
        <row r="1037">
          <cell r="B1037" t="str">
            <v>6712010</v>
          </cell>
          <cell r="C1037" t="str">
            <v>นางณัชนันทน์ วันทุม</v>
          </cell>
          <cell r="D1037" t="str">
            <v>QA/QC</v>
          </cell>
          <cell r="E1037" t="str">
            <v>รายเดือน</v>
          </cell>
          <cell r="F1037" t="str">
            <v>CAR</v>
          </cell>
          <cell r="G1037" t="str">
            <v>QC Inprocess</v>
          </cell>
        </row>
        <row r="1038">
          <cell r="B1038" t="str">
            <v>6712011</v>
          </cell>
          <cell r="C1038" t="str">
            <v>นายกิตติธัช อาษาชาติ</v>
          </cell>
          <cell r="D1038" t="str">
            <v>FMG-B</v>
          </cell>
          <cell r="E1038" t="str">
            <v>รายวัน</v>
          </cell>
          <cell r="F1038" t="str">
            <v>CAR</v>
          </cell>
          <cell r="G1038" t="str">
            <v>พนักงานทั่วไป</v>
          </cell>
        </row>
        <row r="1039">
          <cell r="B1039" t="str">
            <v>6801001</v>
          </cell>
          <cell r="C1039" t="str">
            <v>นางวราภรณ์ อินแดง</v>
          </cell>
          <cell r="D1039" t="str">
            <v>HR&amp;GA/ IT</v>
          </cell>
          <cell r="E1039" t="str">
            <v>รายเดือน</v>
          </cell>
          <cell r="F1039" t="str">
            <v>CAR</v>
          </cell>
          <cell r="G1039" t="str">
            <v>แม่บ้าน</v>
          </cell>
        </row>
        <row r="1040">
          <cell r="B1040" t="str">
            <v>6801002</v>
          </cell>
          <cell r="C1040" t="str">
            <v>นายวริทธิ์ รุ่งไพบูลย์วงศ์</v>
          </cell>
          <cell r="D1040" t="str">
            <v>QA/QC</v>
          </cell>
          <cell r="E1040" t="str">
            <v>รายเดือน</v>
          </cell>
          <cell r="F1040" t="str">
            <v>CAR</v>
          </cell>
          <cell r="G1040" t="str">
            <v>หัวหน้าแผนก</v>
          </cell>
        </row>
        <row r="1041">
          <cell r="B1041" t="str">
            <v>6801003</v>
          </cell>
          <cell r="C1041" t="str">
            <v>นายวุฒิพงษ์ ดวงบุผา</v>
          </cell>
          <cell r="D1041" t="str">
            <v>PD</v>
          </cell>
          <cell r="E1041" t="str">
            <v>รายเดือน</v>
          </cell>
          <cell r="F1041" t="str">
            <v>CAR</v>
          </cell>
          <cell r="G1041" t="str">
            <v>หัวหน้าหน่วย</v>
          </cell>
        </row>
        <row r="1042">
          <cell r="B1042" t="str">
            <v>6801004</v>
          </cell>
          <cell r="C1042" t="str">
            <v>นางสาวจุฬาลักษณ์ แสงหว้า</v>
          </cell>
          <cell r="D1042" t="str">
            <v>PD</v>
          </cell>
          <cell r="E1042" t="str">
            <v>รายเดือน</v>
          </cell>
          <cell r="F1042" t="str">
            <v>CAR</v>
          </cell>
          <cell r="G1042" t="str">
            <v>หัวหน้าหน่วย</v>
          </cell>
        </row>
        <row r="1043">
          <cell r="B1043" t="str">
            <v>6801005</v>
          </cell>
          <cell r="C1043" t="str">
            <v>นางสาวฌาณิตา แก่นจันทร์</v>
          </cell>
          <cell r="D1043" t="str">
            <v>PD</v>
          </cell>
          <cell r="E1043" t="str">
            <v>รายเดือน</v>
          </cell>
          <cell r="F1043" t="str">
            <v>CAR</v>
          </cell>
          <cell r="G1043" t="str">
            <v>เจ้าหน้าที่ธุรการ</v>
          </cell>
        </row>
        <row r="1044">
          <cell r="B1044" t="str">
            <v>6801006</v>
          </cell>
          <cell r="C1044" t="str">
            <v>นางสาวริติยา ศรีหาไชย</v>
          </cell>
          <cell r="D1044" t="str">
            <v>STO</v>
          </cell>
          <cell r="E1044" t="str">
            <v>รายวัน</v>
          </cell>
          <cell r="F1044" t="str">
            <v>CAR</v>
          </cell>
          <cell r="G1044" t="str">
            <v>พนักงานทั่วไป</v>
          </cell>
        </row>
        <row r="1045">
          <cell r="B1045" t="str">
            <v>6801007</v>
          </cell>
          <cell r="C1045" t="str">
            <v>นายธณวัฒน์ พุ่มพวง</v>
          </cell>
          <cell r="D1045" t="str">
            <v>FMG-A</v>
          </cell>
          <cell r="E1045" t="str">
            <v>รายวัน</v>
          </cell>
          <cell r="F1045" t="str">
            <v>CAR</v>
          </cell>
          <cell r="G1045" t="str">
            <v>พนักงานทั่วไป</v>
          </cell>
        </row>
        <row r="1046">
          <cell r="B1046" t="str">
            <v>6801008</v>
          </cell>
          <cell r="C1046" t="str">
            <v>นายธีรเจต หมื่นนะรินทร์</v>
          </cell>
          <cell r="D1046" t="str">
            <v>EXT</v>
          </cell>
          <cell r="E1046" t="str">
            <v>รายวัน</v>
          </cell>
          <cell r="F1046" t="str">
            <v>CAR</v>
          </cell>
          <cell r="G1046" t="str">
            <v>พนักงานทั่วไป</v>
          </cell>
        </row>
        <row r="1047">
          <cell r="B1047" t="str">
            <v>6801009</v>
          </cell>
          <cell r="C1047" t="str">
            <v>นายเกีรยติณรงค์ เหมือนลา</v>
          </cell>
          <cell r="D1047" t="str">
            <v>EXT</v>
          </cell>
          <cell r="E1047" t="str">
            <v>รายวัน</v>
          </cell>
          <cell r="F1047" t="str">
            <v>CAR</v>
          </cell>
          <cell r="G1047" t="str">
            <v>พนักงานทั่วไป</v>
          </cell>
        </row>
        <row r="1048">
          <cell r="B1048" t="str">
            <v>6801010</v>
          </cell>
          <cell r="C1048" t="str">
            <v>นายณัฐกิจ น้อยวิจิตร</v>
          </cell>
          <cell r="D1048" t="str">
            <v>EN</v>
          </cell>
          <cell r="E1048" t="str">
            <v>รายวัน</v>
          </cell>
          <cell r="F1048" t="str">
            <v>CAR</v>
          </cell>
          <cell r="G1048" t="str">
            <v>พนักงานทั่วไป</v>
          </cell>
        </row>
        <row r="1049">
          <cell r="B1049" t="str">
            <v>6801011K</v>
          </cell>
          <cell r="C1049" t="str">
            <v>นายเสิม -</v>
          </cell>
          <cell r="D1049" t="str">
            <v>FMG-B</v>
          </cell>
          <cell r="E1049" t="str">
            <v>รายวัน</v>
          </cell>
          <cell r="F1049" t="str">
            <v>Sub Contract</v>
          </cell>
          <cell r="G1049" t="str">
            <v>พนักงานทั่วไป</v>
          </cell>
        </row>
        <row r="1050">
          <cell r="B1050" t="str">
            <v>6801012K</v>
          </cell>
          <cell r="C1050" t="str">
            <v>นายฮอง ยาง</v>
          </cell>
          <cell r="D1050" t="str">
            <v>FMG-A</v>
          </cell>
          <cell r="E1050" t="str">
            <v>รายวัน</v>
          </cell>
          <cell r="F1050" t="str">
            <v>Sub Contract</v>
          </cell>
          <cell r="G1050" t="str">
            <v>พนักงานทั่วไป</v>
          </cell>
        </row>
        <row r="1051">
          <cell r="B1051" t="str">
            <v>6801013K</v>
          </cell>
          <cell r="C1051" t="str">
            <v>นายเซง ยาง</v>
          </cell>
          <cell r="D1051" t="str">
            <v>FMG-A</v>
          </cell>
          <cell r="E1051" t="str">
            <v>รายวัน</v>
          </cell>
          <cell r="F1051" t="str">
            <v>Sub Contract</v>
          </cell>
          <cell r="G1051" t="str">
            <v>พนักงานทั่วไป</v>
          </cell>
        </row>
        <row r="1052">
          <cell r="B1052" t="str">
            <v>6801014K</v>
          </cell>
          <cell r="C1052" t="str">
            <v>นายไพ เบาวงสา</v>
          </cell>
          <cell r="D1052" t="str">
            <v>FMG-A</v>
          </cell>
          <cell r="E1052" t="str">
            <v>รายวัน</v>
          </cell>
          <cell r="F1052" t="str">
            <v>Sub Contract</v>
          </cell>
          <cell r="G1052" t="str">
            <v>พนักงานทั่วไป</v>
          </cell>
        </row>
        <row r="1053">
          <cell r="B1053" t="str">
            <v>6801015</v>
          </cell>
          <cell r="C1053" t="str">
            <v>นายสุเมธ พงศกรรังศิลป์</v>
          </cell>
          <cell r="D1053" t="str">
            <v>PU</v>
          </cell>
          <cell r="E1053" t="str">
            <v>รายเดือน</v>
          </cell>
          <cell r="F1053" t="str">
            <v>CAR</v>
          </cell>
          <cell r="G1053" t="str">
            <v>ผู้จัดการแผนก</v>
          </cell>
        </row>
        <row r="1054">
          <cell r="B1054" t="str">
            <v>6801016</v>
          </cell>
          <cell r="C1054" t="str">
            <v>นางสาวจริยา กันทัง</v>
          </cell>
          <cell r="D1054" t="str">
            <v>PC</v>
          </cell>
          <cell r="E1054" t="str">
            <v>รายเดือน</v>
          </cell>
          <cell r="F1054" t="str">
            <v>CAR</v>
          </cell>
          <cell r="G1054" t="str">
            <v>เจ้าหน้าที่</v>
          </cell>
        </row>
        <row r="1055">
          <cell r="B1055" t="str">
            <v>6801017</v>
          </cell>
          <cell r="C1055" t="str">
            <v>นายอนุรักษ์ พังทุย</v>
          </cell>
          <cell r="D1055" t="str">
            <v>FMG-B</v>
          </cell>
          <cell r="E1055" t="str">
            <v>รายวัน</v>
          </cell>
          <cell r="F1055" t="str">
            <v>CAR</v>
          </cell>
          <cell r="G1055" t="str">
            <v>พนักงานทั่วไป</v>
          </cell>
        </row>
        <row r="1056">
          <cell r="B1056" t="str">
            <v>6801018</v>
          </cell>
          <cell r="C1056" t="str">
            <v>นายณภัทร พรมลี</v>
          </cell>
          <cell r="D1056" t="str">
            <v>MIX</v>
          </cell>
          <cell r="E1056" t="str">
            <v>รายวัน</v>
          </cell>
          <cell r="F1056" t="str">
            <v>CAR</v>
          </cell>
          <cell r="G1056" t="str">
            <v>พนักงานทั่วไป</v>
          </cell>
        </row>
        <row r="1057">
          <cell r="B1057" t="str">
            <v>6801019</v>
          </cell>
          <cell r="C1057" t="str">
            <v>นายวีรยุทธ ชินอาจ</v>
          </cell>
          <cell r="D1057" t="str">
            <v>FMG-B</v>
          </cell>
          <cell r="E1057" t="str">
            <v>รายวัน</v>
          </cell>
          <cell r="F1057" t="str">
            <v>CAR</v>
          </cell>
          <cell r="G1057" t="str">
            <v>พนักงานทั่วไป</v>
          </cell>
        </row>
        <row r="1058">
          <cell r="B1058" t="str">
            <v>6801020K</v>
          </cell>
          <cell r="C1058" t="str">
            <v>นายเล แสงอุดม</v>
          </cell>
          <cell r="D1058" t="str">
            <v>FMG-B</v>
          </cell>
          <cell r="E1058" t="str">
            <v>รายวัน</v>
          </cell>
          <cell r="F1058" t="str">
            <v>Sub Contract</v>
          </cell>
          <cell r="G1058" t="str">
            <v>พนักงานทั่วไป</v>
          </cell>
        </row>
        <row r="1059">
          <cell r="B1059">
            <v>6801021</v>
          </cell>
          <cell r="C1059" t="str">
            <v>นายธีรวัฒน์ สดับสาร</v>
          </cell>
          <cell r="D1059" t="str">
            <v>QA/QC</v>
          </cell>
          <cell r="E1059" t="str">
            <v>รายเดือน</v>
          </cell>
          <cell r="F1059" t="str">
            <v>CAR</v>
          </cell>
          <cell r="G1059" t="str">
            <v>QC Inprocess</v>
          </cell>
        </row>
        <row r="1060">
          <cell r="B1060" t="str">
            <v>6801022</v>
          </cell>
          <cell r="C1060" t="str">
            <v>นายวุฒิชัย ใจกล้า</v>
          </cell>
          <cell r="D1060" t="str">
            <v>MIX</v>
          </cell>
          <cell r="E1060" t="str">
            <v>รายวัน</v>
          </cell>
          <cell r="F1060" t="str">
            <v>CAR</v>
          </cell>
          <cell r="G1060" t="str">
            <v>พนักงานทั่วไป</v>
          </cell>
        </row>
        <row r="1061">
          <cell r="B1061" t="str">
            <v>6801023</v>
          </cell>
          <cell r="C1061" t="str">
            <v>นายธนนันท์ ประจักษ์เมือง</v>
          </cell>
          <cell r="D1061" t="str">
            <v>CUT</v>
          </cell>
          <cell r="E1061" t="str">
            <v>รายวัน</v>
          </cell>
          <cell r="F1061" t="str">
            <v>CAR</v>
          </cell>
          <cell r="G1061" t="str">
            <v>พนักงานทั่วไป</v>
          </cell>
        </row>
        <row r="1062">
          <cell r="B1062">
            <v>6801024</v>
          </cell>
          <cell r="C1062" t="str">
            <v>นายคงศักดิ์ โพธิ์ลัยคำ</v>
          </cell>
          <cell r="D1062" t="str">
            <v>EXT</v>
          </cell>
          <cell r="E1062" t="str">
            <v>รายวัน</v>
          </cell>
          <cell r="F1062" t="str">
            <v>CAR</v>
          </cell>
          <cell r="G1062" t="str">
            <v>พนักงานทั่วไป</v>
          </cell>
        </row>
        <row r="1063">
          <cell r="B1063">
            <v>6801025</v>
          </cell>
          <cell r="C1063" t="str">
            <v>นายพุฒิพงษ์ คนเรือ</v>
          </cell>
          <cell r="D1063" t="str">
            <v>EXT</v>
          </cell>
          <cell r="E1063" t="str">
            <v>รายวัน</v>
          </cell>
          <cell r="F1063" t="str">
            <v>CAR</v>
          </cell>
          <cell r="G1063" t="str">
            <v>พนักงานทั่วไป</v>
          </cell>
        </row>
        <row r="1064">
          <cell r="B1064" t="str">
            <v>6801026K</v>
          </cell>
          <cell r="C1064" t="str">
            <v>นางสาวเข็มพร แพงสาวัน</v>
          </cell>
          <cell r="D1064" t="str">
            <v>TFC</v>
          </cell>
          <cell r="E1064" t="str">
            <v>รายวัน</v>
          </cell>
          <cell r="F1064" t="str">
            <v>Sub Contract</v>
          </cell>
          <cell r="G1064" t="str">
            <v>พนักงานทั่วไป</v>
          </cell>
        </row>
        <row r="1065">
          <cell r="B1065" t="str">
            <v>6801027K</v>
          </cell>
          <cell r="C1065" t="str">
            <v>นายคำ วิไลพอน</v>
          </cell>
          <cell r="D1065" t="str">
            <v>EXT</v>
          </cell>
          <cell r="E1065" t="str">
            <v>รายวัน</v>
          </cell>
          <cell r="F1065" t="str">
            <v>Sub Contract</v>
          </cell>
          <cell r="G1065" t="str">
            <v>พนักงานทั่วไป</v>
          </cell>
        </row>
        <row r="1066">
          <cell r="B1066" t="str">
            <v>6801028</v>
          </cell>
          <cell r="C1066" t="str">
            <v>นายกฤษฎา กางเกตุ</v>
          </cell>
          <cell r="D1066" t="str">
            <v>FMG-B</v>
          </cell>
          <cell r="E1066" t="str">
            <v>รายวัน</v>
          </cell>
          <cell r="F1066" t="str">
            <v>CAR</v>
          </cell>
          <cell r="G1066" t="str">
            <v>พนักงานทั่วไป</v>
          </cell>
        </row>
        <row r="1067">
          <cell r="B1067" t="str">
            <v>6802001</v>
          </cell>
          <cell r="C1067" t="str">
            <v>นายธวัชชัย วงศ์เทศ</v>
          </cell>
          <cell r="D1067" t="str">
            <v>PD</v>
          </cell>
          <cell r="E1067" t="str">
            <v>รายเดือน</v>
          </cell>
          <cell r="F1067" t="str">
            <v>CAR</v>
          </cell>
          <cell r="G1067" t="str">
            <v>ผู้จัดการแผนก</v>
          </cell>
        </row>
        <row r="1068">
          <cell r="B1068" t="str">
            <v>6802002</v>
          </cell>
          <cell r="C1068" t="str">
            <v>นายศักดิ์สิทธิ์ บุญเสริม</v>
          </cell>
          <cell r="D1068" t="str">
            <v>EXT</v>
          </cell>
          <cell r="E1068" t="str">
            <v>รายเดือน</v>
          </cell>
          <cell r="F1068" t="str">
            <v>CAR</v>
          </cell>
          <cell r="G1068" t="str">
            <v>พนักงานทั่วไป</v>
          </cell>
        </row>
        <row r="1069">
          <cell r="B1069" t="str">
            <v>6802003</v>
          </cell>
          <cell r="C1069" t="str">
            <v>นางสาวภาวดี  บุษบงค์</v>
          </cell>
          <cell r="D1069" t="str">
            <v>TFC</v>
          </cell>
          <cell r="E1069" t="str">
            <v>รายวัน</v>
          </cell>
          <cell r="F1069" t="str">
            <v>CAR</v>
          </cell>
          <cell r="G1069" t="str">
            <v>พนักงานทั่วไป</v>
          </cell>
        </row>
        <row r="1070">
          <cell r="B1070">
            <v>6802004</v>
          </cell>
          <cell r="C1070" t="str">
            <v>นางสาวสุกานดา แว่นกลาง</v>
          </cell>
          <cell r="D1070" t="str">
            <v>QA/QC</v>
          </cell>
          <cell r="E1070" t="str">
            <v>รายเดือน</v>
          </cell>
          <cell r="F1070" t="str">
            <v>CAR</v>
          </cell>
          <cell r="G1070" t="str">
            <v>QC Inprocess</v>
          </cell>
        </row>
        <row r="1071">
          <cell r="B1071" t="str">
            <v>6802005</v>
          </cell>
          <cell r="C1071" t="str">
            <v>นางสาววิศรา สร้อยสุข</v>
          </cell>
          <cell r="D1071" t="str">
            <v>FNG-1</v>
          </cell>
          <cell r="E1071" t="str">
            <v>รายวัน</v>
          </cell>
          <cell r="F1071" t="str">
            <v>CAR</v>
          </cell>
          <cell r="G1071" t="str">
            <v>พนักงานทั่วไป</v>
          </cell>
        </row>
        <row r="1072">
          <cell r="B1072" t="str">
            <v>6802006</v>
          </cell>
          <cell r="C1072" t="str">
            <v>นางสาวปัญญมน สิมมาหลวง</v>
          </cell>
          <cell r="D1072" t="str">
            <v>FNG-1</v>
          </cell>
          <cell r="E1072" t="str">
            <v>รายวัน</v>
          </cell>
          <cell r="F1072" t="str">
            <v>CAR</v>
          </cell>
          <cell r="G1072" t="str">
            <v>พนักงานทั่วไป</v>
          </cell>
        </row>
        <row r="1073">
          <cell r="B1073" t="str">
            <v>6802007</v>
          </cell>
          <cell r="C1073" t="str">
            <v>นางสาวโสพิศ จันนามอม</v>
          </cell>
          <cell r="D1073" t="str">
            <v>FNG-1</v>
          </cell>
          <cell r="E1073" t="str">
            <v>รายวัน</v>
          </cell>
          <cell r="F1073" t="str">
            <v>CAR</v>
          </cell>
          <cell r="G1073" t="str">
            <v>พนักงานทั่วไป</v>
          </cell>
        </row>
        <row r="1074">
          <cell r="B1074" t="str">
            <v>6802008</v>
          </cell>
          <cell r="C1074" t="str">
            <v>นายทินกร แก่นแก้ว</v>
          </cell>
          <cell r="D1074" t="str">
            <v>EXT</v>
          </cell>
          <cell r="E1074" t="str">
            <v>รายวัน</v>
          </cell>
          <cell r="F1074" t="str">
            <v>CAR</v>
          </cell>
          <cell r="G1074" t="str">
            <v>พนักงานทั่วไป</v>
          </cell>
        </row>
        <row r="1075">
          <cell r="B1075" t="str">
            <v>6802009</v>
          </cell>
          <cell r="C1075" t="str">
            <v>นายมนูนศักดิ์ ปักกาสีนัง</v>
          </cell>
          <cell r="D1075" t="str">
            <v>FMG-B</v>
          </cell>
          <cell r="E1075" t="str">
            <v>รายวัน</v>
          </cell>
          <cell r="F1075" t="str">
            <v>CAR</v>
          </cell>
          <cell r="G1075" t="str">
            <v>พนักงานทั่วไป</v>
          </cell>
        </row>
        <row r="1076">
          <cell r="B1076" t="str">
            <v>6802010</v>
          </cell>
          <cell r="C1076" t="str">
            <v>นายปัญญาร์ มังจิ๋ว</v>
          </cell>
          <cell r="D1076" t="str">
            <v>FMG-A</v>
          </cell>
          <cell r="E1076" t="str">
            <v>รายวัน</v>
          </cell>
          <cell r="F1076" t="str">
            <v>CAR</v>
          </cell>
          <cell r="G1076" t="str">
            <v>พนักงานทั่วไป</v>
          </cell>
        </row>
        <row r="1077">
          <cell r="B1077" t="str">
            <v>6802011</v>
          </cell>
          <cell r="C1077" t="str">
            <v>นายธนากร ราชพันแสน</v>
          </cell>
          <cell r="D1077" t="str">
            <v>FMG-B</v>
          </cell>
          <cell r="E1077" t="str">
            <v>รายวัน</v>
          </cell>
          <cell r="F1077" t="str">
            <v>CAR</v>
          </cell>
          <cell r="G1077" t="str">
            <v>พนักงานทั่วไป</v>
          </cell>
        </row>
        <row r="1078">
          <cell r="B1078" t="str">
            <v>6802012</v>
          </cell>
          <cell r="C1078" t="str">
            <v>นายลิขิต สารผล</v>
          </cell>
          <cell r="D1078" t="str">
            <v>FMG-B</v>
          </cell>
          <cell r="E1078" t="str">
            <v>รายวัน</v>
          </cell>
          <cell r="F1078" t="str">
            <v>CAR</v>
          </cell>
          <cell r="G1078" t="str">
            <v>พนักงานทั่วไป</v>
          </cell>
        </row>
        <row r="1079">
          <cell r="B1079" t="str">
            <v>6802013</v>
          </cell>
          <cell r="C1079" t="str">
            <v>นายแสนคม เทวสัตย์</v>
          </cell>
          <cell r="D1079" t="str">
            <v>FMG-B</v>
          </cell>
          <cell r="E1079" t="str">
            <v>รายวัน</v>
          </cell>
          <cell r="F1079" t="str">
            <v>CAR</v>
          </cell>
          <cell r="G1079" t="str">
            <v>พนักงานทั่วไป</v>
          </cell>
        </row>
        <row r="1080">
          <cell r="B1080" t="str">
            <v>6802014</v>
          </cell>
          <cell r="C1080" t="str">
            <v>นางสาวเตือนใจ อินภูวา</v>
          </cell>
          <cell r="D1080" t="str">
            <v>FNG-1</v>
          </cell>
          <cell r="E1080" t="str">
            <v>รายวัน</v>
          </cell>
          <cell r="F1080" t="str">
            <v>CAR</v>
          </cell>
          <cell r="G1080" t="str">
            <v>พนักงานทั่วไป</v>
          </cell>
        </row>
        <row r="1081">
          <cell r="B1081" t="str">
            <v>6802015</v>
          </cell>
          <cell r="C1081" t="str">
            <v>นายธีระยุทธ ยศวงษ์</v>
          </cell>
          <cell r="D1081" t="str">
            <v>EXT</v>
          </cell>
          <cell r="E1081" t="str">
            <v>รายวัน</v>
          </cell>
          <cell r="F1081" t="str">
            <v>CAR</v>
          </cell>
          <cell r="G1081" t="str">
            <v>พนักงานทั่วไป</v>
          </cell>
        </row>
        <row r="1082">
          <cell r="B1082" t="str">
            <v>6802016</v>
          </cell>
          <cell r="C1082" t="str">
            <v>นายสุทธิ แสงฤทธิ์</v>
          </cell>
          <cell r="D1082" t="str">
            <v>EXT</v>
          </cell>
          <cell r="E1082" t="str">
            <v>รายวัน</v>
          </cell>
          <cell r="F1082" t="str">
            <v>CAR</v>
          </cell>
          <cell r="G1082" t="str">
            <v>พนักงานทั่วไป</v>
          </cell>
        </row>
        <row r="1083">
          <cell r="B1083" t="str">
            <v>6802017</v>
          </cell>
          <cell r="C1083" t="str">
            <v>นายนรินทร์ ชื่นอารมย์</v>
          </cell>
          <cell r="D1083" t="str">
            <v>FMG-A</v>
          </cell>
          <cell r="E1083" t="str">
            <v>รายวัน</v>
          </cell>
          <cell r="F1083" t="str">
            <v>CAR</v>
          </cell>
          <cell r="G1083" t="str">
            <v>พนักงานทั่วไป</v>
          </cell>
        </row>
        <row r="1084">
          <cell r="B1084" t="str">
            <v>6802018</v>
          </cell>
          <cell r="C1084" t="str">
            <v>นายพงศธร เสนาะเสียง</v>
          </cell>
          <cell r="D1084" t="str">
            <v>MT</v>
          </cell>
          <cell r="E1084" t="str">
            <v>รายเดือน</v>
          </cell>
          <cell r="F1084" t="str">
            <v>CAR</v>
          </cell>
          <cell r="G1084" t="str">
            <v>ช่างซ่อมบำรุง</v>
          </cell>
        </row>
        <row r="1085">
          <cell r="B1085" t="str">
            <v>6803001</v>
          </cell>
          <cell r="C1085" t="str">
            <v>นายปราบ แสนเจ๊ก</v>
          </cell>
          <cell r="D1085" t="str">
            <v>QA/QC</v>
          </cell>
          <cell r="E1085" t="str">
            <v>รายเดือน</v>
          </cell>
          <cell r="F1085" t="str">
            <v>CAR</v>
          </cell>
          <cell r="G1085" t="str">
            <v>QA Engineer</v>
          </cell>
        </row>
        <row r="1086">
          <cell r="B1086" t="str">
            <v>6803002</v>
          </cell>
          <cell r="C1086" t="str">
            <v>นายลักธพงศ์ สุขเปล่ง</v>
          </cell>
          <cell r="D1086" t="str">
            <v>PD</v>
          </cell>
          <cell r="E1086" t="str">
            <v>รายเดือน</v>
          </cell>
          <cell r="F1086" t="str">
            <v>CAR</v>
          </cell>
          <cell r="G1086" t="str">
            <v>หัวหน้าหน่วย</v>
          </cell>
        </row>
        <row r="1087">
          <cell r="B1087" t="str">
            <v>6803003</v>
          </cell>
          <cell r="C1087" t="str">
            <v>นางสาววิรากร  แก้วเพ็ง</v>
          </cell>
          <cell r="D1087" t="str">
            <v>PD</v>
          </cell>
          <cell r="E1087" t="str">
            <v>รายเดือน</v>
          </cell>
          <cell r="F1087" t="str">
            <v>CAR</v>
          </cell>
          <cell r="G1087" t="str">
            <v>เจ้าหน้าที่ธุรการ</v>
          </cell>
        </row>
        <row r="1088">
          <cell r="B1088" t="str">
            <v>6803004</v>
          </cell>
          <cell r="C1088" t="str">
            <v>นายจักรพันธ์  แสงจันสี</v>
          </cell>
          <cell r="D1088" t="str">
            <v>FMG-B</v>
          </cell>
          <cell r="E1088" t="str">
            <v>รายวัน</v>
          </cell>
          <cell r="F1088" t="str">
            <v>CAR</v>
          </cell>
          <cell r="G1088" t="str">
            <v>พนักงานทั่วไป</v>
          </cell>
        </row>
        <row r="1089">
          <cell r="B1089" t="str">
            <v>6803005</v>
          </cell>
          <cell r="C1089" t="str">
            <v>นางสาวบุตรสตรี สาหนองหม้อ</v>
          </cell>
          <cell r="D1089" t="str">
            <v>QA/QC</v>
          </cell>
          <cell r="E1089" t="str">
            <v>รายเดือน</v>
          </cell>
          <cell r="F1089" t="str">
            <v>CAR</v>
          </cell>
          <cell r="G1089" t="str">
            <v>QC Line</v>
          </cell>
        </row>
        <row r="1090">
          <cell r="B1090" t="str">
            <v>6803006</v>
          </cell>
          <cell r="C1090" t="str">
            <v>นางสาวพัชรี ทองไสล</v>
          </cell>
          <cell r="D1090" t="str">
            <v>TFC</v>
          </cell>
          <cell r="E1090" t="str">
            <v>รายวัน</v>
          </cell>
          <cell r="F1090" t="str">
            <v>CAR</v>
          </cell>
          <cell r="G1090" t="str">
            <v>พนักงานทั่วไป</v>
          </cell>
        </row>
        <row r="1091">
          <cell r="B1091" t="str">
            <v>6803007</v>
          </cell>
          <cell r="C1091" t="str">
            <v>นายอนุสรณ์ บุญจูง</v>
          </cell>
          <cell r="D1091" t="str">
            <v>FMG-B</v>
          </cell>
          <cell r="E1091" t="str">
            <v>รายวัน</v>
          </cell>
          <cell r="F1091" t="str">
            <v>CAR</v>
          </cell>
          <cell r="G1091" t="str">
            <v>พนักงานทั่วไป</v>
          </cell>
        </row>
        <row r="1092">
          <cell r="B1092" t="str">
            <v>6803008</v>
          </cell>
          <cell r="C1092" t="str">
            <v>นายวุฒินันต์ ไปนาน</v>
          </cell>
          <cell r="D1092" t="str">
            <v>PD</v>
          </cell>
          <cell r="E1092" t="str">
            <v>รายเดือน</v>
          </cell>
          <cell r="F1092" t="str">
            <v>CAR</v>
          </cell>
          <cell r="G1092" t="str">
            <v>หัวหน้าแผนก</v>
          </cell>
        </row>
        <row r="1093">
          <cell r="B1093" t="str">
            <v>6803009</v>
          </cell>
          <cell r="C1093" t="str">
            <v>นายสุพล พิลึก</v>
          </cell>
          <cell r="D1093" t="str">
            <v>FMG-B</v>
          </cell>
          <cell r="E1093" t="str">
            <v>รายวัน</v>
          </cell>
          <cell r="F1093" t="str">
            <v>CAR</v>
          </cell>
          <cell r="G1093" t="str">
            <v>พนักงานทั่วไป</v>
          </cell>
        </row>
        <row r="1094">
          <cell r="B1094" t="str">
            <v>6803010</v>
          </cell>
          <cell r="C1094" t="str">
            <v>นางสาววลัยภรณ์ ทองเทศ</v>
          </cell>
          <cell r="D1094" t="str">
            <v>PD</v>
          </cell>
          <cell r="E1094" t="str">
            <v>รายเดือน</v>
          </cell>
          <cell r="F1094" t="str">
            <v>CAR</v>
          </cell>
          <cell r="G1094" t="str">
            <v>ผู้ช่วยหัวหน้าหน่วย</v>
          </cell>
        </row>
        <row r="1095">
          <cell r="B1095" t="str">
            <v>6803011</v>
          </cell>
          <cell r="C1095" t="str">
            <v>นางสาววิภาวดี  สีวังคำ</v>
          </cell>
          <cell r="D1095" t="str">
            <v>FNG-4</v>
          </cell>
          <cell r="E1095" t="str">
            <v>รายวัน</v>
          </cell>
          <cell r="F1095" t="str">
            <v>CAR</v>
          </cell>
          <cell r="G1095" t="str">
            <v>พนักงานทั่วไป</v>
          </cell>
        </row>
        <row r="1096">
          <cell r="B1096" t="str">
            <v>6803012</v>
          </cell>
          <cell r="C1096" t="str">
            <v>นายสาธิต เรืองเดช</v>
          </cell>
          <cell r="D1096" t="str">
            <v>MGT</v>
          </cell>
          <cell r="E1096" t="str">
            <v xml:space="preserve"> -</v>
          </cell>
          <cell r="F1096" t="str">
            <v xml:space="preserve"> -</v>
          </cell>
          <cell r="G1096" t="str">
            <v>ที่ปรึกษา</v>
          </cell>
        </row>
        <row r="1097">
          <cell r="B1097" t="str">
            <v>6803013</v>
          </cell>
          <cell r="C1097" t="str">
            <v>นางสาวขนิษฐา เฉียดพรมราช</v>
          </cell>
          <cell r="D1097" t="str">
            <v>FNG-4</v>
          </cell>
          <cell r="E1097" t="str">
            <v>รายวัน</v>
          </cell>
          <cell r="F1097" t="str">
            <v>CAR</v>
          </cell>
          <cell r="G1097" t="str">
            <v>พนักงานทั่วไป</v>
          </cell>
        </row>
        <row r="1098">
          <cell r="B1098" t="str">
            <v>6803014</v>
          </cell>
          <cell r="C1098" t="str">
            <v>นายภูธเนศ กำยาน</v>
          </cell>
          <cell r="D1098" t="str">
            <v>FMG-B</v>
          </cell>
          <cell r="E1098" t="str">
            <v>รายวัน</v>
          </cell>
          <cell r="F1098" t="str">
            <v>CAR</v>
          </cell>
          <cell r="G1098" t="str">
            <v>พนักงานทั่วไป</v>
          </cell>
        </row>
        <row r="1099">
          <cell r="B1099" t="str">
            <v>6803015</v>
          </cell>
          <cell r="C1099" t="str">
            <v>นายอาทิตย์ หลอดคำ</v>
          </cell>
          <cell r="D1099" t="str">
            <v>FMG-B</v>
          </cell>
          <cell r="E1099" t="str">
            <v>รายวัน</v>
          </cell>
          <cell r="F1099" t="str">
            <v>CAR</v>
          </cell>
          <cell r="G1099" t="str">
            <v>พนักงานทั่วไป</v>
          </cell>
        </row>
        <row r="1100">
          <cell r="B1100" t="str">
            <v>6803016</v>
          </cell>
          <cell r="C1100" t="str">
            <v>นายเกริกพล กองสุวรรณ์</v>
          </cell>
          <cell r="D1100" t="str">
            <v>EXT</v>
          </cell>
          <cell r="E1100" t="str">
            <v>รายวัน</v>
          </cell>
          <cell r="F1100" t="str">
            <v>CAR</v>
          </cell>
          <cell r="G1100" t="str">
            <v>พนักงานทั่วไป</v>
          </cell>
        </row>
        <row r="1101">
          <cell r="B1101" t="str">
            <v>6803017</v>
          </cell>
          <cell r="C1101" t="str">
            <v>นายกิตติศักดิ์  ถึงคำภู</v>
          </cell>
          <cell r="D1101" t="str">
            <v>EXT</v>
          </cell>
          <cell r="E1101" t="str">
            <v>รายวัน</v>
          </cell>
          <cell r="F1101" t="str">
            <v>CAR</v>
          </cell>
          <cell r="G1101" t="str">
            <v>พนักงานทั่วไป</v>
          </cell>
        </row>
        <row r="1102">
          <cell r="B1102" t="str">
            <v>6803018</v>
          </cell>
          <cell r="C1102" t="str">
            <v>นางสาวมณีรัตน์ ดีปาน</v>
          </cell>
          <cell r="D1102" t="str">
            <v>FNG-4</v>
          </cell>
          <cell r="E1102" t="str">
            <v>รายวัน</v>
          </cell>
          <cell r="F1102" t="str">
            <v>CAR</v>
          </cell>
          <cell r="G1102" t="str">
            <v>พนักงานทั่วไป</v>
          </cell>
        </row>
        <row r="1103">
          <cell r="B1103" t="str">
            <v>6803019</v>
          </cell>
          <cell r="C1103" t="str">
            <v>นายอำพล แชบรัมย์</v>
          </cell>
          <cell r="D1103" t="str">
            <v>EXT</v>
          </cell>
          <cell r="E1103" t="str">
            <v>รายวัน</v>
          </cell>
          <cell r="F1103" t="str">
            <v>CAR</v>
          </cell>
          <cell r="G1103" t="str">
            <v>พนักงานทั่วไป</v>
          </cell>
        </row>
        <row r="1104">
          <cell r="B1104" t="str">
            <v>6804001</v>
          </cell>
          <cell r="C1104" t="str">
            <v>นายสุธี พูนสุขวัฒนา</v>
          </cell>
          <cell r="D1104" t="str">
            <v>MT</v>
          </cell>
          <cell r="E1104" t="str">
            <v>รายเดือน</v>
          </cell>
          <cell r="F1104" t="str">
            <v>CAR</v>
          </cell>
          <cell r="G1104" t="str">
            <v>ผู้ช่วยผู้จัดการแผนก</v>
          </cell>
        </row>
        <row r="1105">
          <cell r="B1105" t="str">
            <v>6804002</v>
          </cell>
          <cell r="C1105" t="str">
            <v>นางสาวจันทร์ที นูนนาแซง</v>
          </cell>
          <cell r="D1105" t="str">
            <v>FMG-B</v>
          </cell>
          <cell r="E1105" t="str">
            <v>รายวัน</v>
          </cell>
          <cell r="F1105" t="str">
            <v>CAR</v>
          </cell>
          <cell r="G1105" t="str">
            <v>พนักงานทั่วไป</v>
          </cell>
        </row>
        <row r="1106">
          <cell r="B1106" t="str">
            <v>6804003</v>
          </cell>
          <cell r="C1106" t="str">
            <v>นายเสถียร แสงอรุณ</v>
          </cell>
          <cell r="D1106" t="str">
            <v>FMG-A</v>
          </cell>
          <cell r="E1106" t="str">
            <v>รายวัน</v>
          </cell>
          <cell r="F1106" t="str">
            <v>CAR</v>
          </cell>
          <cell r="G1106" t="str">
            <v>พนักงานทั่วไป</v>
          </cell>
        </row>
        <row r="1107">
          <cell r="B1107" t="str">
            <v>6804004</v>
          </cell>
          <cell r="C1107" t="str">
            <v>นางสาวณัชพร เทศทอง</v>
          </cell>
          <cell r="D1107" t="str">
            <v>FNG-4</v>
          </cell>
          <cell r="E1107" t="str">
            <v>รายวัน</v>
          </cell>
          <cell r="F1107" t="str">
            <v>CAR</v>
          </cell>
          <cell r="G1107" t="str">
            <v>พนักงานทั่วไป</v>
          </cell>
        </row>
        <row r="1108">
          <cell r="B1108" t="str">
            <v>6804005</v>
          </cell>
          <cell r="C1108" t="str">
            <v>นายกษิดิศ สีสรรค์</v>
          </cell>
          <cell r="D1108" t="str">
            <v>CUT</v>
          </cell>
          <cell r="E1108" t="str">
            <v>รายวัน</v>
          </cell>
          <cell r="F1108" t="str">
            <v>CAR</v>
          </cell>
          <cell r="G1108" t="str">
            <v>พนักงานทั่วไป</v>
          </cell>
        </row>
        <row r="1109">
          <cell r="B1109" t="str">
            <v>6804006</v>
          </cell>
          <cell r="C1109" t="str">
            <v>นายวิทวัส สีนนตรี</v>
          </cell>
          <cell r="D1109" t="str">
            <v>EXT</v>
          </cell>
          <cell r="E1109" t="str">
            <v>รายวัน</v>
          </cell>
          <cell r="F1109" t="str">
            <v>CAR</v>
          </cell>
          <cell r="G1109" t="str">
            <v>พนักงานทั่วไป</v>
          </cell>
        </row>
        <row r="1110">
          <cell r="B1110" t="str">
            <v>6804007K</v>
          </cell>
          <cell r="C1110" t="str">
            <v>นายบุญเหนียว -</v>
          </cell>
          <cell r="D1110" t="str">
            <v>FMG-B</v>
          </cell>
          <cell r="E1110" t="str">
            <v>รายวัน</v>
          </cell>
          <cell r="F1110" t="str">
            <v>Sub Contract</v>
          </cell>
          <cell r="G1110" t="str">
            <v>พนักงานทั่วไป</v>
          </cell>
        </row>
        <row r="1111">
          <cell r="B1111" t="str">
            <v>6804008K</v>
          </cell>
          <cell r="C1111" t="str">
            <v>นายคอนพบ ไชสงคาม</v>
          </cell>
          <cell r="D1111" t="str">
            <v>FMG-B</v>
          </cell>
          <cell r="E1111" t="str">
            <v>รายวัน</v>
          </cell>
          <cell r="F1111" t="str">
            <v>Sub Contract</v>
          </cell>
          <cell r="G1111" t="str">
            <v>พนักงานทั่วไป</v>
          </cell>
        </row>
        <row r="1112">
          <cell r="B1112" t="str">
            <v>6804009K</v>
          </cell>
          <cell r="C1112" t="str">
            <v>นายทอง -</v>
          </cell>
          <cell r="D1112" t="str">
            <v>FMG-B</v>
          </cell>
          <cell r="E1112" t="str">
            <v>รายวัน</v>
          </cell>
          <cell r="F1112" t="str">
            <v>Sub Contract</v>
          </cell>
          <cell r="G1112" t="str">
            <v>พนักงานทั่วไป</v>
          </cell>
        </row>
        <row r="1113">
          <cell r="B1113" t="str">
            <v>6804010K</v>
          </cell>
          <cell r="C1113" t="str">
            <v>นายมั่ง -</v>
          </cell>
          <cell r="D1113" t="str">
            <v>FMG-B</v>
          </cell>
          <cell r="E1113" t="str">
            <v>รายวัน</v>
          </cell>
          <cell r="F1113" t="str">
            <v>Sub Contract</v>
          </cell>
          <cell r="G1113" t="str">
            <v>พนักงานทั่วไป</v>
          </cell>
        </row>
        <row r="1114">
          <cell r="B1114" t="str">
            <v>6804011</v>
          </cell>
          <cell r="C1114" t="str">
            <v>นายวรายุทธ อุ่มอาษา</v>
          </cell>
          <cell r="D1114" t="str">
            <v>FMG-A</v>
          </cell>
          <cell r="E1114" t="str">
            <v>รายวัน</v>
          </cell>
          <cell r="F1114" t="str">
            <v>CAR</v>
          </cell>
          <cell r="G1114" t="str">
            <v>พนักงานทั่วไป</v>
          </cell>
        </row>
        <row r="1115">
          <cell r="B1115" t="str">
            <v>6804012</v>
          </cell>
          <cell r="C1115" t="str">
            <v>นายประวิท ซำขวา</v>
          </cell>
          <cell r="D1115" t="str">
            <v>FMG-B</v>
          </cell>
          <cell r="E1115" t="str">
            <v>รายวัน</v>
          </cell>
          <cell r="F1115" t="str">
            <v>CAR</v>
          </cell>
          <cell r="G1115" t="str">
            <v>พนักงานทั่วไป</v>
          </cell>
        </row>
        <row r="1116">
          <cell r="B1116" t="str">
            <v>6804013</v>
          </cell>
          <cell r="C1116" t="str">
            <v>นายกิติศักดิ์ โพธิ์แย้ม</v>
          </cell>
          <cell r="D1116" t="str">
            <v>FMG-A</v>
          </cell>
          <cell r="E1116" t="str">
            <v>รายวัน</v>
          </cell>
          <cell r="F1116" t="str">
            <v>CAR</v>
          </cell>
          <cell r="G1116" t="str">
            <v>พนักงานทั่วไป</v>
          </cell>
        </row>
        <row r="1117">
          <cell r="B1117" t="str">
            <v>6804014</v>
          </cell>
          <cell r="C1117" t="str">
            <v>นายสุพจน์ กิ่งรัก</v>
          </cell>
          <cell r="D1117" t="str">
            <v>EXT</v>
          </cell>
          <cell r="E1117" t="str">
            <v>รายวัน</v>
          </cell>
          <cell r="F1117" t="str">
            <v>CAR</v>
          </cell>
          <cell r="G1117" t="str">
            <v>พนักงานทั่วไป</v>
          </cell>
        </row>
        <row r="1118">
          <cell r="B1118" t="str">
            <v>6804015</v>
          </cell>
          <cell r="C1118" t="str">
            <v>นงสาววนิดา อินทร์ด่านกลาง</v>
          </cell>
          <cell r="D1118" t="str">
            <v>FNG-4</v>
          </cell>
          <cell r="E1118" t="str">
            <v>รายวัน</v>
          </cell>
          <cell r="F1118" t="str">
            <v>CAR</v>
          </cell>
          <cell r="G1118" t="str">
            <v>พนักงานทั่วไป</v>
          </cell>
        </row>
        <row r="1119">
          <cell r="B1119" t="str">
            <v>6804016</v>
          </cell>
          <cell r="C1119" t="str">
            <v>นางสาวมานี คงมี</v>
          </cell>
          <cell r="D1119" t="str">
            <v>FNG-4</v>
          </cell>
          <cell r="E1119" t="str">
            <v>รายวัน</v>
          </cell>
          <cell r="F1119" t="str">
            <v>CAR</v>
          </cell>
          <cell r="G1119" t="str">
            <v>พนักงานทั่วไป</v>
          </cell>
        </row>
        <row r="1120">
          <cell r="B1120" t="str">
            <v>6804017</v>
          </cell>
          <cell r="C1120" t="str">
            <v>นายธนาธิป พันเสริม</v>
          </cell>
          <cell r="D1120" t="str">
            <v>EXT</v>
          </cell>
          <cell r="E1120" t="str">
            <v>รายวัน</v>
          </cell>
          <cell r="F1120" t="str">
            <v>CAR</v>
          </cell>
          <cell r="G1120" t="str">
            <v>พนักงานทั่วไป</v>
          </cell>
        </row>
        <row r="1121">
          <cell r="B1121" t="str">
            <v>6804018</v>
          </cell>
          <cell r="C1121" t="str">
            <v>นายวันเฉลิม น้อยมี</v>
          </cell>
          <cell r="D1121" t="str">
            <v>FMG-B</v>
          </cell>
          <cell r="E1121" t="str">
            <v>รายวัน</v>
          </cell>
          <cell r="F1121" t="str">
            <v>CAR</v>
          </cell>
          <cell r="G1121" t="str">
            <v>พนักงานทั่วไป</v>
          </cell>
        </row>
        <row r="1122">
          <cell r="B1122" t="str">
            <v>6804019K</v>
          </cell>
          <cell r="C1122" t="str">
            <v>นายแก้วตา ทะวงสา</v>
          </cell>
          <cell r="D1122" t="str">
            <v>CUT</v>
          </cell>
          <cell r="E1122" t="str">
            <v>รายวัน</v>
          </cell>
          <cell r="F1122" t="str">
            <v>Sub Contract</v>
          </cell>
          <cell r="G1122" t="str">
            <v>พนักงานทั่วไป</v>
          </cell>
        </row>
        <row r="1123">
          <cell r="B1123" t="str">
            <v>6804020K</v>
          </cell>
          <cell r="C1123" t="str">
            <v>นายเสิม -</v>
          </cell>
          <cell r="D1123" t="str">
            <v>FMG-B</v>
          </cell>
          <cell r="E1123" t="str">
            <v>รายวัน</v>
          </cell>
          <cell r="F1123" t="str">
            <v>Sub Contract</v>
          </cell>
          <cell r="G1123" t="str">
            <v>พนักงานทั่วไป</v>
          </cell>
        </row>
        <row r="1124">
          <cell r="B1124" t="str">
            <v>6804021K</v>
          </cell>
          <cell r="C1124" t="str">
            <v>นายเย -</v>
          </cell>
          <cell r="D1124" t="str">
            <v>FMG-B</v>
          </cell>
          <cell r="E1124" t="str">
            <v>รายวัน</v>
          </cell>
          <cell r="F1124" t="str">
            <v>Sub Contract</v>
          </cell>
          <cell r="G1124" t="str">
            <v>พนักงานทั่วไป</v>
          </cell>
        </row>
        <row r="1125">
          <cell r="B1125" t="str">
            <v>6805001K</v>
          </cell>
          <cell r="C1125" t="str">
            <v>นายอัง -</v>
          </cell>
          <cell r="D1125" t="str">
            <v>FMG-B</v>
          </cell>
          <cell r="E1125" t="str">
            <v>รายวัน</v>
          </cell>
          <cell r="F1125" t="str">
            <v>Sub Contract</v>
          </cell>
          <cell r="G1125" t="str">
            <v>พนักงานทั่วไป</v>
          </cell>
        </row>
        <row r="1126">
          <cell r="B1126" t="str">
            <v>6805002</v>
          </cell>
          <cell r="C1126" t="str">
            <v>นายณัฐวุฒิ เพียรทอง</v>
          </cell>
          <cell r="D1126" t="str">
            <v>FMG-B</v>
          </cell>
          <cell r="E1126" t="str">
            <v>รายวัน</v>
          </cell>
          <cell r="F1126" t="str">
            <v>CAR</v>
          </cell>
          <cell r="G1126" t="str">
            <v>พนักงานทั่วไป</v>
          </cell>
        </row>
        <row r="1127">
          <cell r="B1127" t="str">
            <v>6805003</v>
          </cell>
          <cell r="C1127" t="str">
            <v>นายอิสระ ดำเสนา</v>
          </cell>
          <cell r="D1127" t="str">
            <v>FMG-B</v>
          </cell>
          <cell r="E1127" t="str">
            <v>รายวัน</v>
          </cell>
          <cell r="F1127" t="str">
            <v>CAR</v>
          </cell>
          <cell r="G1127" t="str">
            <v>พนักงานทั่วไป</v>
          </cell>
        </row>
        <row r="1128">
          <cell r="B1128" t="str">
            <v>6805004</v>
          </cell>
          <cell r="C1128" t="str">
            <v>นางสาวพิชชาพร เงินนาค</v>
          </cell>
          <cell r="D1128" t="str">
            <v>FNG-3</v>
          </cell>
          <cell r="E1128" t="str">
            <v>รายวัน</v>
          </cell>
          <cell r="F1128" t="str">
            <v>CAR</v>
          </cell>
          <cell r="G1128" t="str">
            <v>พนักงานทั่วไป</v>
          </cell>
        </row>
        <row r="1129">
          <cell r="B1129" t="str">
            <v>6805005</v>
          </cell>
          <cell r="C1129" t="str">
            <v>นางสาวลักขณา วิเวก</v>
          </cell>
          <cell r="D1129" t="str">
            <v>QA/QC</v>
          </cell>
          <cell r="E1129" t="str">
            <v>รายเดือน</v>
          </cell>
          <cell r="F1129" t="str">
            <v>CAR</v>
          </cell>
          <cell r="G1129" t="str">
            <v>QA Line</v>
          </cell>
        </row>
        <row r="1130">
          <cell r="B1130" t="str">
            <v>6805006</v>
          </cell>
          <cell r="C1130" t="str">
            <v>นายมงคล วรกิจพาณิชย์</v>
          </cell>
          <cell r="D1130" t="str">
            <v>FMG-A</v>
          </cell>
          <cell r="E1130" t="str">
            <v>รายวัน</v>
          </cell>
          <cell r="F1130" t="str">
            <v>CAR</v>
          </cell>
          <cell r="G1130" t="str">
            <v>พนักงานทั่วไป</v>
          </cell>
        </row>
        <row r="1131">
          <cell r="B1131" t="str">
            <v>6805007</v>
          </cell>
          <cell r="C1131" t="str">
            <v>นายฉัตรชัย สิงห์เงิน</v>
          </cell>
          <cell r="D1131" t="str">
            <v>PD</v>
          </cell>
          <cell r="E1131" t="str">
            <v>รายเดือน</v>
          </cell>
          <cell r="F1131" t="str">
            <v>CAR</v>
          </cell>
          <cell r="G1131" t="str">
            <v>ช่างเทคนิคซ่อมและบำรุงรักษาแม่พิมพ์</v>
          </cell>
        </row>
        <row r="1132">
          <cell r="B1132" t="str">
            <v>6805008</v>
          </cell>
          <cell r="C1132" t="str">
            <v>นายมนตรี โพธิแสง</v>
          </cell>
          <cell r="D1132" t="str">
            <v>MT</v>
          </cell>
          <cell r="E1132" t="str">
            <v>รายเดือน</v>
          </cell>
          <cell r="F1132" t="str">
            <v>CAR</v>
          </cell>
          <cell r="G1132" t="str">
            <v>ช่างซ่อมบำรุง</v>
          </cell>
        </row>
        <row r="1133">
          <cell r="B1133" t="str">
            <v>6805009</v>
          </cell>
          <cell r="C1133" t="str">
            <v>นายวศิน ยมมา</v>
          </cell>
          <cell r="D1133" t="str">
            <v>FMG-B</v>
          </cell>
          <cell r="E1133" t="str">
            <v>รายวัน</v>
          </cell>
          <cell r="F1133" t="str">
            <v>CAR</v>
          </cell>
          <cell r="G1133" t="str">
            <v>พนักงานทั่วไป</v>
          </cell>
        </row>
        <row r="1134">
          <cell r="B1134" t="str">
            <v>6805010</v>
          </cell>
          <cell r="C1134" t="str">
            <v>นางสาวณัฏฐธิดาภรณ์ มีหนู</v>
          </cell>
          <cell r="D1134" t="str">
            <v>FNG-4</v>
          </cell>
          <cell r="E1134" t="str">
            <v>รายวัน</v>
          </cell>
          <cell r="F1134" t="str">
            <v>CAR</v>
          </cell>
          <cell r="G1134" t="str">
            <v>พนักงานทั่วไป</v>
          </cell>
        </row>
        <row r="1135">
          <cell r="B1135" t="str">
            <v>6805011</v>
          </cell>
          <cell r="C1135" t="str">
            <v>นายณัฐพงษ์ บุญประคม</v>
          </cell>
          <cell r="D1135" t="str">
            <v>EXT</v>
          </cell>
          <cell r="E1135" t="str">
            <v>รายวัน</v>
          </cell>
          <cell r="F1135" t="str">
            <v>CAR</v>
          </cell>
          <cell r="G1135" t="str">
            <v>พนักงานทั่วไป</v>
          </cell>
        </row>
        <row r="1136">
          <cell r="B1136" t="str">
            <v>6806001</v>
          </cell>
          <cell r="C1136" t="str">
            <v>นางสาววิภาดา จรรยายงค์</v>
          </cell>
          <cell r="D1136" t="str">
            <v>QA/QC</v>
          </cell>
          <cell r="E1136" t="str">
            <v>รายเดือน</v>
          </cell>
          <cell r="F1136" t="str">
            <v>CAR</v>
          </cell>
          <cell r="G1136" t="str">
            <v>QC Line</v>
          </cell>
        </row>
        <row r="1137">
          <cell r="B1137" t="str">
            <v>6806002</v>
          </cell>
          <cell r="C1137" t="str">
            <v>นายนิพนธ์ ภูสดแสง</v>
          </cell>
          <cell r="D1137" t="str">
            <v>PD</v>
          </cell>
          <cell r="E1137" t="str">
            <v>รายเดือน</v>
          </cell>
          <cell r="F1137" t="str">
            <v>CAR</v>
          </cell>
          <cell r="G1137" t="str">
            <v>หัวหน้าแผนกอาวุโส</v>
          </cell>
        </row>
        <row r="1138">
          <cell r="B1138" t="str">
            <v>6806003</v>
          </cell>
          <cell r="C1138" t="str">
            <v>นายธิติพงษ์ พรมกุดตุ้ม</v>
          </cell>
          <cell r="D1138" t="str">
            <v>FMG-B</v>
          </cell>
          <cell r="E1138" t="str">
            <v>รายวัน</v>
          </cell>
          <cell r="F1138" t="str">
            <v>CAR</v>
          </cell>
          <cell r="G1138" t="str">
            <v>พนักงานทั่วไป</v>
          </cell>
        </row>
        <row r="1139">
          <cell r="B1139">
            <v>6806004</v>
          </cell>
          <cell r="C1139" t="str">
            <v>นายสุนทร โนนทะวงษ์</v>
          </cell>
          <cell r="D1139" t="str">
            <v>FMG-B</v>
          </cell>
          <cell r="E1139" t="str">
            <v>รายวัน</v>
          </cell>
          <cell r="F1139" t="str">
            <v>CAR</v>
          </cell>
          <cell r="G1139" t="str">
            <v>พนักงานทั่วไป</v>
          </cell>
        </row>
        <row r="1140">
          <cell r="B1140">
            <v>6806005</v>
          </cell>
          <cell r="C1140" t="str">
            <v>นางสาวอวัสดา วันดีวงค์</v>
          </cell>
          <cell r="D1140" t="str">
            <v>FNG-3</v>
          </cell>
          <cell r="E1140" t="str">
            <v>รายวัน</v>
          </cell>
          <cell r="F1140" t="str">
            <v>CAR</v>
          </cell>
          <cell r="G1140" t="str">
            <v>พนักงานทั่วไป</v>
          </cell>
        </row>
        <row r="1141">
          <cell r="B1141" t="str">
            <v>6806006</v>
          </cell>
          <cell r="C1141" t="str">
            <v>นางสาวยุภาพร คำหอม</v>
          </cell>
          <cell r="D1141" t="str">
            <v>TFC</v>
          </cell>
          <cell r="E1141" t="str">
            <v>รายวัน</v>
          </cell>
          <cell r="F1141" t="str">
            <v>CAR</v>
          </cell>
          <cell r="G1141" t="str">
            <v>พนักงานทั่วไป</v>
          </cell>
        </row>
        <row r="1142">
          <cell r="B1142">
            <v>6806007</v>
          </cell>
          <cell r="C1142" t="str">
            <v>นางสาวรัชนีกร ไพลวัลย์</v>
          </cell>
          <cell r="D1142" t="str">
            <v>QA/QC</v>
          </cell>
          <cell r="E1142" t="str">
            <v>รายวัน</v>
          </cell>
          <cell r="F1142" t="str">
            <v>CAR</v>
          </cell>
          <cell r="G1142" t="str">
            <v>พนักงานทั่วไป</v>
          </cell>
        </row>
        <row r="1143">
          <cell r="B1143">
            <v>6806008</v>
          </cell>
          <cell r="C1143" t="str">
            <v>นางสาวสิลดา วรรณสม</v>
          </cell>
          <cell r="D1143" t="str">
            <v>QA/QC</v>
          </cell>
          <cell r="E1143" t="str">
            <v>รายวัน</v>
          </cell>
          <cell r="F1143" t="str">
            <v>CAR</v>
          </cell>
          <cell r="G1143" t="str">
            <v>พนักงานทั่วไป</v>
          </cell>
        </row>
        <row r="1144">
          <cell r="B1144" t="str">
            <v>6806009</v>
          </cell>
          <cell r="C1144" t="str">
            <v>นางสาวสายสุดา มีกัด</v>
          </cell>
          <cell r="D1144" t="str">
            <v>FNG-3</v>
          </cell>
          <cell r="E1144" t="str">
            <v>รายวัน</v>
          </cell>
          <cell r="F1144" t="str">
            <v>CAR</v>
          </cell>
          <cell r="G1144" t="str">
            <v>พนักงานทั่วไป</v>
          </cell>
        </row>
        <row r="1145">
          <cell r="B1145" t="str">
            <v>6806010K</v>
          </cell>
          <cell r="C1145" t="str">
            <v>นายคำสิด  วันปะเสิด</v>
          </cell>
          <cell r="D1145" t="str">
            <v>FMG-B</v>
          </cell>
          <cell r="E1145" t="str">
            <v>รายวัน</v>
          </cell>
          <cell r="F1145" t="str">
            <v>Sub Contract</v>
          </cell>
          <cell r="G1145" t="str">
            <v>พนักงานทั่วไป</v>
          </cell>
        </row>
        <row r="1146">
          <cell r="B1146" t="str">
            <v>6806011K</v>
          </cell>
          <cell r="C1146" t="str">
            <v>นาย เที๊ยม  พอนมะนี</v>
          </cell>
          <cell r="D1146" t="str">
            <v>FMG-A</v>
          </cell>
          <cell r="E1146" t="str">
            <v>รายวัน</v>
          </cell>
          <cell r="F1146" t="str">
            <v>Sub Contract</v>
          </cell>
          <cell r="G1146" t="str">
            <v>พนักงานทั่วไป</v>
          </cell>
        </row>
        <row r="1147">
          <cell r="B1147" t="str">
            <v>6806012K</v>
          </cell>
          <cell r="C1147" t="str">
            <v>นาย ผุย  แก้วมาลา</v>
          </cell>
          <cell r="D1147" t="str">
            <v>FMG-A</v>
          </cell>
          <cell r="E1147" t="str">
            <v>รายวัน</v>
          </cell>
          <cell r="F1147" t="str">
            <v>Sub Contract</v>
          </cell>
          <cell r="G1147" t="str">
            <v>พนักงานทั่วไป</v>
          </cell>
        </row>
        <row r="1148">
          <cell r="B1148" t="str">
            <v>6806013K</v>
          </cell>
          <cell r="C1148" t="str">
            <v>นาย สมสี  ตุลาทอน</v>
          </cell>
          <cell r="D1148" t="str">
            <v>CUT</v>
          </cell>
          <cell r="E1148" t="str">
            <v>รายวัน</v>
          </cell>
          <cell r="F1148" t="str">
            <v>Sub Contract</v>
          </cell>
          <cell r="G1148" t="str">
            <v>พนักงานทั่วไป</v>
          </cell>
        </row>
        <row r="1149">
          <cell r="B1149" t="str">
            <v>6806014K</v>
          </cell>
          <cell r="C1149" t="str">
            <v>นาย คำตุ้ย  เกดทะวง</v>
          </cell>
          <cell r="D1149" t="str">
            <v>FMG-B</v>
          </cell>
          <cell r="E1149" t="str">
            <v>รายวัน</v>
          </cell>
          <cell r="F1149" t="str">
            <v>Sub Contract</v>
          </cell>
          <cell r="G1149" t="str">
            <v>พนักงานทั่วไป</v>
          </cell>
        </row>
        <row r="1150">
          <cell r="B1150" t="str">
            <v>6806015K</v>
          </cell>
          <cell r="C1150" t="str">
            <v>นาย สอน  สุลิยะมาด</v>
          </cell>
          <cell r="D1150" t="str">
            <v>FMG-A</v>
          </cell>
          <cell r="E1150" t="str">
            <v>รายวัน</v>
          </cell>
          <cell r="F1150" t="str">
            <v>Sub Contract</v>
          </cell>
          <cell r="G1150" t="str">
            <v>พนักงานทั่วไป</v>
          </cell>
        </row>
        <row r="1151">
          <cell r="B1151" t="str">
            <v>6806016</v>
          </cell>
          <cell r="C1151" t="str">
            <v>นางสาว ชัญญาวีร์ เป้าแก้ว</v>
          </cell>
          <cell r="D1151" t="str">
            <v>QA/QC</v>
          </cell>
          <cell r="E1151" t="str">
            <v>รายวัน</v>
          </cell>
          <cell r="F1151" t="str">
            <v>CAR</v>
          </cell>
          <cell r="G1151" t="str">
            <v>พนักงานทั่วไป</v>
          </cell>
        </row>
        <row r="1152">
          <cell r="B1152" t="str">
            <v>6806017</v>
          </cell>
          <cell r="C1152" t="str">
            <v>นางสาว อุษา ดาทอง</v>
          </cell>
          <cell r="D1152" t="str">
            <v>QA/QC</v>
          </cell>
          <cell r="E1152" t="str">
            <v>รายวัน</v>
          </cell>
          <cell r="F1152" t="str">
            <v>CAR</v>
          </cell>
          <cell r="G1152" t="str">
            <v>พนักงานทั่วไป</v>
          </cell>
        </row>
        <row r="1153">
          <cell r="B1153" t="str">
            <v>6806018</v>
          </cell>
          <cell r="C1153" t="str">
            <v>นางสาว ฐาน์ณิชชยา อินทะเรืองรุ่ง</v>
          </cell>
          <cell r="D1153" t="str">
            <v>FNG-4</v>
          </cell>
          <cell r="E1153" t="str">
            <v>รายวัน</v>
          </cell>
          <cell r="F1153" t="str">
            <v>CAR</v>
          </cell>
          <cell r="G1153" t="str">
            <v>พนักงานทั่วไป</v>
          </cell>
        </row>
        <row r="1154">
          <cell r="B1154" t="str">
            <v>6806019</v>
          </cell>
          <cell r="C1154" t="str">
            <v>นางสาว นภารัตน์ ศรีสว่าง</v>
          </cell>
          <cell r="D1154" t="str">
            <v>FNG-4</v>
          </cell>
          <cell r="E1154" t="str">
            <v>รายวัน</v>
          </cell>
          <cell r="F1154" t="str">
            <v>CAR</v>
          </cell>
          <cell r="G1154" t="str">
            <v>พนักงานทั่วไป</v>
          </cell>
        </row>
        <row r="1155">
          <cell r="B1155" t="str">
            <v>6806020</v>
          </cell>
          <cell r="C1155" t="str">
            <v>นาย เด่นดวง สอ้อนกลาง</v>
          </cell>
          <cell r="D1155" t="str">
            <v>MT</v>
          </cell>
          <cell r="E1155" t="str">
            <v>รายเดือน</v>
          </cell>
          <cell r="F1155" t="str">
            <v>CAR</v>
          </cell>
          <cell r="G1155" t="str">
            <v>ช่างซ่อมบำรุง</v>
          </cell>
        </row>
        <row r="1156">
          <cell r="B1156" t="str">
            <v>6806021</v>
          </cell>
          <cell r="C1156" t="str">
            <v>นายรัชพล บุญส่ง</v>
          </cell>
          <cell r="D1156" t="str">
            <v>FMG-A</v>
          </cell>
          <cell r="E1156" t="str">
            <v>รายวัน</v>
          </cell>
          <cell r="F1156" t="str">
            <v>CAR</v>
          </cell>
          <cell r="G1156" t="str">
            <v>พนักงานทั่วไป</v>
          </cell>
        </row>
        <row r="1157">
          <cell r="B1157" t="str">
            <v>6806022</v>
          </cell>
          <cell r="C1157" t="str">
            <v>นายนันทวัฒน์ คล่องแคล่ว</v>
          </cell>
          <cell r="D1157" t="str">
            <v>CUT</v>
          </cell>
          <cell r="E1157" t="str">
            <v>รายวัน</v>
          </cell>
          <cell r="F1157" t="str">
            <v>CAR</v>
          </cell>
          <cell r="G1157" t="str">
            <v>พนักงานทั่วไป</v>
          </cell>
        </row>
        <row r="1158">
          <cell r="B1158" t="str">
            <v>6806023</v>
          </cell>
          <cell r="C1158" t="str">
            <v>นางสาวอารยา สุขโข</v>
          </cell>
          <cell r="D1158" t="str">
            <v>PD</v>
          </cell>
          <cell r="E1158" t="str">
            <v>รายเดือน</v>
          </cell>
          <cell r="F1158" t="str">
            <v>CAR</v>
          </cell>
          <cell r="G1158" t="str">
            <v>เจ้าหน้าที่ธุรการ</v>
          </cell>
        </row>
        <row r="1159">
          <cell r="B1159" t="str">
            <v>6806024</v>
          </cell>
          <cell r="C1159" t="str">
            <v>นางสาววาสนา ปิมะนาว</v>
          </cell>
          <cell r="D1159" t="str">
            <v>TFC</v>
          </cell>
          <cell r="E1159" t="str">
            <v>รายวัน</v>
          </cell>
          <cell r="F1159" t="str">
            <v>CAR</v>
          </cell>
          <cell r="G1159" t="str">
            <v>พนักงานทั่วไป</v>
          </cell>
        </row>
        <row r="1160">
          <cell r="B1160" t="str">
            <v>6807001</v>
          </cell>
          <cell r="C1160" t="str">
            <v>นายธนาวุธ สมบัติหลาย</v>
          </cell>
          <cell r="D1160" t="str">
            <v>EXT</v>
          </cell>
          <cell r="E1160" t="str">
            <v>รายวัน</v>
          </cell>
          <cell r="F1160" t="str">
            <v>CAR</v>
          </cell>
          <cell r="G1160" t="str">
            <v>พนักงานทั่วไป</v>
          </cell>
        </row>
        <row r="1161">
          <cell r="B1161" t="str">
            <v>6807002</v>
          </cell>
          <cell r="C1161" t="str">
            <v>นายกิติคุณ นามเจริญ</v>
          </cell>
          <cell r="D1161" t="str">
            <v>PD</v>
          </cell>
          <cell r="E1161" t="str">
            <v>รายเดือน</v>
          </cell>
          <cell r="F1161" t="str">
            <v>CAR</v>
          </cell>
          <cell r="G1161" t="str">
            <v>หัวหน้าแผนก</v>
          </cell>
        </row>
        <row r="1162">
          <cell r="B1162" t="str">
            <v>6807003</v>
          </cell>
          <cell r="C1162" t="str">
            <v>นายณัฐธิดา เบ็ญจขันธ์</v>
          </cell>
          <cell r="D1162" t="str">
            <v>FNG-6</v>
          </cell>
          <cell r="E1162" t="str">
            <v>รายวัน</v>
          </cell>
          <cell r="F1162" t="str">
            <v>CAR</v>
          </cell>
          <cell r="G1162" t="str">
            <v>พนักงานทั่วไป</v>
          </cell>
        </row>
        <row r="1163">
          <cell r="B1163" t="str">
            <v>6807004</v>
          </cell>
          <cell r="C1163" t="str">
            <v>นายณัฐพงษ์ เย็นปัญญา</v>
          </cell>
          <cell r="D1163" t="str">
            <v>FMG-B</v>
          </cell>
          <cell r="E1163" t="str">
            <v>รายวัน</v>
          </cell>
          <cell r="F1163" t="str">
            <v>CAR</v>
          </cell>
          <cell r="G1163" t="str">
            <v>พนักงานทั่วไป</v>
          </cell>
        </row>
        <row r="1164">
          <cell r="B1164" t="str">
            <v>6807005</v>
          </cell>
          <cell r="C1164" t="str">
            <v>นายสุรศักดิ์ จันทร์อยู่จริง</v>
          </cell>
          <cell r="D1164" t="str">
            <v>FMG-B</v>
          </cell>
          <cell r="E1164" t="str">
            <v>รายวัน</v>
          </cell>
          <cell r="F1164" t="str">
            <v>CAR</v>
          </cell>
          <cell r="G1164" t="str">
            <v>พนักงานทั่วไป</v>
          </cell>
        </row>
        <row r="1165">
          <cell r="B1165" t="str">
            <v>6807006</v>
          </cell>
          <cell r="C1165" t="str">
            <v>นายอำพล นัยนิตย์</v>
          </cell>
          <cell r="D1165" t="str">
            <v>CUT</v>
          </cell>
          <cell r="E1165" t="str">
            <v>รายวัน</v>
          </cell>
          <cell r="F1165" t="str">
            <v>CAR</v>
          </cell>
          <cell r="G1165" t="str">
            <v>พนักงานทั่วไป</v>
          </cell>
        </row>
        <row r="1166">
          <cell r="B1166" t="str">
            <v>6807007</v>
          </cell>
          <cell r="C1166" t="str">
            <v>นายอินทร ชัยศรี</v>
          </cell>
          <cell r="D1166" t="str">
            <v>MT</v>
          </cell>
          <cell r="E1166" t="str">
            <v>รายเดือน</v>
          </cell>
          <cell r="F1166" t="str">
            <v>CAR</v>
          </cell>
          <cell r="G1166" t="str">
            <v>ผู้จัดการแผนก</v>
          </cell>
        </row>
        <row r="1167">
          <cell r="B1167" t="str">
            <v>6807008</v>
          </cell>
          <cell r="C1167" t="str">
            <v>นายวิษณุ นวนกลางดอน</v>
          </cell>
          <cell r="D1167" t="str">
            <v>PD</v>
          </cell>
          <cell r="E1167" t="str">
            <v>รายเดือน</v>
          </cell>
          <cell r="F1167" t="str">
            <v>CAR</v>
          </cell>
          <cell r="G1167" t="str">
            <v>หัวหน้าหน่วย</v>
          </cell>
        </row>
        <row r="1168">
          <cell r="B1168" t="str">
            <v>6807009</v>
          </cell>
          <cell r="C1168" t="str">
            <v>นางสาวปาริชาติ ผันผาย</v>
          </cell>
          <cell r="D1168" t="str">
            <v>QA/QC</v>
          </cell>
          <cell r="E1168" t="str">
            <v>รายเดือน</v>
          </cell>
          <cell r="F1168" t="str">
            <v>CAR</v>
          </cell>
          <cell r="G1168" t="str">
            <v>หัวหน้าหน่วย</v>
          </cell>
        </row>
        <row r="1169">
          <cell r="B1169" t="str">
            <v>6807010</v>
          </cell>
          <cell r="C1169" t="str">
            <v>นายปิยณัฐ รุ่งเรือง</v>
          </cell>
          <cell r="D1169" t="str">
            <v>FMG-A</v>
          </cell>
          <cell r="E1169" t="str">
            <v>รายวัน</v>
          </cell>
          <cell r="F1169" t="str">
            <v>CAR</v>
          </cell>
          <cell r="G1169" t="str">
            <v>พนักงานทั่วไป</v>
          </cell>
        </row>
        <row r="1170">
          <cell r="B1170" t="str">
            <v>6807011</v>
          </cell>
          <cell r="C1170" t="str">
            <v>นายรังสรรค์ วิชิต</v>
          </cell>
          <cell r="D1170" t="str">
            <v>FMG-A</v>
          </cell>
          <cell r="E1170" t="str">
            <v>รายวัน</v>
          </cell>
          <cell r="F1170" t="str">
            <v>CAR</v>
          </cell>
          <cell r="G1170" t="str">
            <v>พนักงานทั่วไป</v>
          </cell>
        </row>
        <row r="1171">
          <cell r="B1171" t="str">
            <v>6807012</v>
          </cell>
          <cell r="C1171" t="str">
            <v>นางสาวศรีกัญญา แสงสุข</v>
          </cell>
          <cell r="D1171" t="str">
            <v>EN</v>
          </cell>
          <cell r="E1171" t="str">
            <v>รายวัน</v>
          </cell>
          <cell r="F1171" t="str">
            <v>CAR</v>
          </cell>
          <cell r="G1171" t="str">
            <v>พนักงานทั่วไป</v>
          </cell>
        </row>
        <row r="1172">
          <cell r="B1172" t="str">
            <v>6807013</v>
          </cell>
          <cell r="C1172" t="str">
            <v>นางสาวกมลฉัตร คูณสมบัติ</v>
          </cell>
          <cell r="D1172" t="str">
            <v>TFC</v>
          </cell>
          <cell r="E1172" t="str">
            <v>รายวัน</v>
          </cell>
          <cell r="F1172" t="str">
            <v>CAR</v>
          </cell>
          <cell r="G1172" t="str">
            <v>พนักงานทั่วไป</v>
          </cell>
        </row>
        <row r="1173">
          <cell r="B1173" t="str">
            <v>6807014</v>
          </cell>
          <cell r="C1173" t="str">
            <v>นายวิษณุ จันทร์ต้น</v>
          </cell>
          <cell r="D1173" t="str">
            <v>FMG-A</v>
          </cell>
          <cell r="E1173" t="str">
            <v>รายเดือน</v>
          </cell>
          <cell r="F1173" t="str">
            <v>CAR</v>
          </cell>
          <cell r="G1173" t="str">
            <v>หัวหน้าหน่วย</v>
          </cell>
        </row>
        <row r="1174">
          <cell r="B1174" t="str">
            <v>6807015</v>
          </cell>
          <cell r="C1174" t="str">
            <v>นางสาวโชติรส รอดภัย</v>
          </cell>
          <cell r="D1174" t="str">
            <v>QA/QC</v>
          </cell>
          <cell r="E1174" t="str">
            <v>รายเดือน</v>
          </cell>
          <cell r="F1174" t="str">
            <v>CAR</v>
          </cell>
          <cell r="G1174" t="str">
            <v>QC Line</v>
          </cell>
        </row>
        <row r="1175">
          <cell r="B1175" t="str">
            <v>6807016</v>
          </cell>
          <cell r="C1175" t="str">
            <v>นายสามารถ สุภาทิพย์</v>
          </cell>
          <cell r="D1175" t="str">
            <v>EXT</v>
          </cell>
          <cell r="E1175" t="str">
            <v>รายวัน</v>
          </cell>
          <cell r="F1175" t="str">
            <v>CAR</v>
          </cell>
          <cell r="G1175" t="str">
            <v>พนักงานทั่วไป</v>
          </cell>
        </row>
        <row r="1176">
          <cell r="B1176" t="str">
            <v>6807017</v>
          </cell>
          <cell r="C1176" t="str">
            <v>นายวาธิต อนุสงค์</v>
          </cell>
          <cell r="D1176" t="str">
            <v>EXT</v>
          </cell>
          <cell r="E1176" t="str">
            <v>รายวัน</v>
          </cell>
          <cell r="F1176" t="str">
            <v>CAR</v>
          </cell>
          <cell r="G1176" t="str">
            <v>พนักงานทั่วไป</v>
          </cell>
        </row>
        <row r="1177">
          <cell r="B1177" t="str">
            <v>6807018</v>
          </cell>
          <cell r="C1177" t="str">
            <v>นาย สุเทพ   เหลาคำ</v>
          </cell>
          <cell r="D1177" t="str">
            <v>FMG-B</v>
          </cell>
          <cell r="E1177" t="str">
            <v>รายวัน</v>
          </cell>
          <cell r="F1177" t="str">
            <v>CAR</v>
          </cell>
          <cell r="G1177" t="str">
            <v>พนักงานทั่วไป</v>
          </cell>
        </row>
        <row r="1178">
          <cell r="B1178" t="str">
            <v>6807019</v>
          </cell>
          <cell r="C1178" t="str">
            <v>นาย ปริญญา  เทพณรงค์</v>
          </cell>
          <cell r="D1178" t="str">
            <v>CUT</v>
          </cell>
          <cell r="E1178" t="str">
            <v>รายวัน</v>
          </cell>
          <cell r="F1178" t="str">
            <v>CAR</v>
          </cell>
          <cell r="G1178" t="str">
            <v>พนักงานทั่วไป</v>
          </cell>
        </row>
        <row r="1179">
          <cell r="B1179" t="str">
            <v>6807020</v>
          </cell>
          <cell r="C1179" t="str">
            <v>นางสาว ธิดาพร  คำวันดี</v>
          </cell>
          <cell r="D1179" t="str">
            <v>TFC</v>
          </cell>
          <cell r="E1179" t="str">
            <v>รายวัน</v>
          </cell>
          <cell r="F1179" t="str">
            <v>CAR</v>
          </cell>
          <cell r="G1179" t="str">
            <v>พนักงานทั่วไป</v>
          </cell>
        </row>
        <row r="1180">
          <cell r="B1180" t="str">
            <v>6807021</v>
          </cell>
          <cell r="C1180" t="str">
            <v>นางสาว วิภารัตน์  ไชยวุฒิ</v>
          </cell>
          <cell r="D1180" t="str">
            <v>FNG-4</v>
          </cell>
          <cell r="E1180" t="str">
            <v>รายวัน</v>
          </cell>
          <cell r="F1180" t="str">
            <v>CAR</v>
          </cell>
          <cell r="G1180" t="str">
            <v>พนักงานทั่วไป</v>
          </cell>
        </row>
        <row r="1181">
          <cell r="B1181" t="str">
            <v>6807022</v>
          </cell>
          <cell r="C1181" t="str">
            <v>นาย ต่อศักดิ์  ศรีเข็ม</v>
          </cell>
          <cell r="D1181" t="str">
            <v>EXT</v>
          </cell>
          <cell r="E1181" t="str">
            <v>รายวัน</v>
          </cell>
          <cell r="F1181" t="str">
            <v>CAR</v>
          </cell>
          <cell r="G1181" t="str">
            <v>พนักงานทั่วไป</v>
          </cell>
        </row>
        <row r="1182">
          <cell r="B1182" t="str">
            <v>6807023</v>
          </cell>
          <cell r="C1182" t="str">
            <v>นาย ศราวุฒิ  จุ้ยกลาง</v>
          </cell>
          <cell r="D1182" t="str">
            <v>FMG-B</v>
          </cell>
          <cell r="E1182" t="str">
            <v>รายวัน</v>
          </cell>
          <cell r="F1182" t="str">
            <v>CAR</v>
          </cell>
          <cell r="G1182" t="str">
            <v>พนักงานทั่วไป</v>
          </cell>
        </row>
        <row r="1183">
          <cell r="B1183" t="str">
            <v>6807024</v>
          </cell>
          <cell r="C1183" t="str">
            <v>นาย อนันตชัย  คุ้มจันทร์</v>
          </cell>
          <cell r="D1183" t="str">
            <v>FMG-B</v>
          </cell>
          <cell r="E1183" t="str">
            <v>รายวัน</v>
          </cell>
          <cell r="F1183" t="str">
            <v>CAR</v>
          </cell>
          <cell r="G1183" t="str">
            <v>พนักงานทั่วไป</v>
          </cell>
        </row>
        <row r="1184">
          <cell r="B1184" t="str">
            <v>6808001</v>
          </cell>
          <cell r="C1184" t="str">
            <v>นางสาว รัตนา  แอบอุ่น</v>
          </cell>
          <cell r="D1184" t="str">
            <v>QA/QC</v>
          </cell>
          <cell r="E1184" t="str">
            <v>รายวัน</v>
          </cell>
          <cell r="F1184" t="str">
            <v>CAR</v>
          </cell>
          <cell r="G1184" t="str">
            <v>พนักงานทั่วไป</v>
          </cell>
        </row>
        <row r="1185">
          <cell r="B1185" t="str">
            <v>6808002</v>
          </cell>
          <cell r="C1185" t="str">
            <v>นาย ธีระพล  แก้วปาลีรัตน์</v>
          </cell>
          <cell r="D1185" t="str">
            <v>FMG-B</v>
          </cell>
          <cell r="E1185" t="str">
            <v>รายวัน</v>
          </cell>
          <cell r="F1185" t="str">
            <v>CAR</v>
          </cell>
          <cell r="G1185" t="str">
            <v>พนักงานทั่วไป</v>
          </cell>
        </row>
        <row r="1186">
          <cell r="B1186" t="str">
            <v>6808003</v>
          </cell>
          <cell r="C1186" t="str">
            <v>นาย ทินกฤต  ธำรงค์ตระกูล</v>
          </cell>
          <cell r="D1186" t="str">
            <v>FMG-B</v>
          </cell>
          <cell r="E1186" t="str">
            <v>รายวัน</v>
          </cell>
          <cell r="F1186" t="str">
            <v>CAR</v>
          </cell>
          <cell r="G1186" t="str">
            <v>พนักงานทั่วไป</v>
          </cell>
        </row>
        <row r="1187">
          <cell r="B1187" t="str">
            <v>6808004K</v>
          </cell>
          <cell r="C1187" t="str">
            <v>นายนึก จิดตะนะ</v>
          </cell>
          <cell r="D1187" t="str">
            <v>FMG-B</v>
          </cell>
          <cell r="E1187" t="str">
            <v>รายวัน</v>
          </cell>
          <cell r="F1187" t="str">
            <v>Sub Contract</v>
          </cell>
          <cell r="G1187" t="str">
            <v>พนักงานทั่วไป</v>
          </cell>
        </row>
        <row r="1188">
          <cell r="B1188" t="str">
            <v>6808005K</v>
          </cell>
          <cell r="C1188" t="str">
            <v>นายคูน พิมมาลา</v>
          </cell>
          <cell r="D1188" t="str">
            <v>FNG-3</v>
          </cell>
          <cell r="E1188" t="str">
            <v>รายวัน</v>
          </cell>
          <cell r="F1188" t="str">
            <v>Sub Contract</v>
          </cell>
          <cell r="G1188" t="str">
            <v>พนักงานทั่วไป</v>
          </cell>
        </row>
        <row r="1189">
          <cell r="B1189" t="str">
            <v>6808006</v>
          </cell>
          <cell r="C1189" t="str">
            <v>นาย ปกรณ์  บุญเรือง</v>
          </cell>
          <cell r="D1189" t="str">
            <v>PD</v>
          </cell>
          <cell r="E1189" t="str">
            <v>รายเดือน</v>
          </cell>
          <cell r="F1189" t="str">
            <v>CAR</v>
          </cell>
          <cell r="G1189" t="str">
            <v>ช่างเทคนิคซ่อมและบำรุงรักษาแม่พิมพ์</v>
          </cell>
        </row>
        <row r="1190">
          <cell r="B1190" t="str">
            <v>6808007K</v>
          </cell>
          <cell r="C1190" t="str">
            <v>นาย คำ พิมมาลา</v>
          </cell>
          <cell r="D1190" t="str">
            <v>PD</v>
          </cell>
          <cell r="E1190" t="str">
            <v>รายวัน</v>
          </cell>
          <cell r="F1190" t="str">
            <v>Sub Contract</v>
          </cell>
          <cell r="G1190" t="str">
            <v>พนักงานทั่วไป(PM Mold)</v>
          </cell>
        </row>
        <row r="1191">
          <cell r="B1191" t="str">
            <v>6808008K</v>
          </cell>
          <cell r="C1191" t="str">
            <v>นาย จัน -</v>
          </cell>
          <cell r="D1191" t="str">
            <v>FNG-3</v>
          </cell>
          <cell r="E1191" t="str">
            <v>รายวัน</v>
          </cell>
          <cell r="F1191" t="str">
            <v>Sub Contract</v>
          </cell>
          <cell r="G1191" t="str">
            <v>พนักงานทั่วไป</v>
          </cell>
        </row>
        <row r="1192">
          <cell r="B1192" t="str">
            <v>6808009K</v>
          </cell>
          <cell r="C1192" t="str">
            <v>นาย เจอ -</v>
          </cell>
          <cell r="D1192" t="str">
            <v>MIX</v>
          </cell>
          <cell r="E1192" t="str">
            <v>รายวัน</v>
          </cell>
          <cell r="F1192" t="str">
            <v>Sub Contract</v>
          </cell>
          <cell r="G1192" t="str">
            <v>พนักงานทั่วไป</v>
          </cell>
        </row>
        <row r="1193">
          <cell r="B1193" t="str">
            <v>6808010K</v>
          </cell>
          <cell r="C1193" t="str">
            <v>นาย บุญเปี่ยน  -</v>
          </cell>
          <cell r="D1193" t="str">
            <v>EXT</v>
          </cell>
          <cell r="E1193" t="str">
            <v>รายวัน</v>
          </cell>
          <cell r="F1193" t="str">
            <v>Sub Contract</v>
          </cell>
          <cell r="G1193" t="str">
            <v>พนักงานทั่วไป</v>
          </cell>
        </row>
        <row r="1194">
          <cell r="B1194" t="str">
            <v>6808011K</v>
          </cell>
          <cell r="C1194" t="str">
            <v>นาย คำ  -</v>
          </cell>
          <cell r="D1194" t="str">
            <v>EXT</v>
          </cell>
          <cell r="E1194" t="str">
            <v>รายวัน</v>
          </cell>
          <cell r="F1194" t="str">
            <v>Sub Contract</v>
          </cell>
          <cell r="G1194" t="str">
            <v>พนักงานทั่วไป</v>
          </cell>
        </row>
        <row r="1195">
          <cell r="B1195" t="str">
            <v>6808012</v>
          </cell>
          <cell r="C1195" t="str">
            <v>นาย อนันต์ ดวงมาลัย</v>
          </cell>
          <cell r="D1195" t="str">
            <v>FMG-B</v>
          </cell>
          <cell r="E1195" t="str">
            <v>รายวัน</v>
          </cell>
          <cell r="F1195" t="str">
            <v>CAR</v>
          </cell>
          <cell r="G1195" t="str">
            <v>พนักงานทั่วไป</v>
          </cell>
        </row>
        <row r="1196">
          <cell r="B1196" t="str">
            <v>6808013</v>
          </cell>
          <cell r="C1196" t="str">
            <v>นางสาว กมลชนก จันทร์นวล</v>
          </cell>
          <cell r="D1196" t="str">
            <v>FNG-4</v>
          </cell>
          <cell r="E1196" t="str">
            <v>รายวัน</v>
          </cell>
          <cell r="F1196" t="str">
            <v>CAR</v>
          </cell>
          <cell r="G1196" t="str">
            <v>พนักงานทั่วไป</v>
          </cell>
        </row>
        <row r="1197">
          <cell r="B1197" t="str">
            <v>6808014</v>
          </cell>
          <cell r="C1197" t="str">
            <v>นางสาว ดารุณี ไชอำพร</v>
          </cell>
          <cell r="D1197" t="str">
            <v>FNG-3</v>
          </cell>
          <cell r="E1197" t="str">
            <v>รายวัน</v>
          </cell>
          <cell r="F1197" t="str">
            <v>CAR</v>
          </cell>
          <cell r="G1197" t="str">
            <v>พนักงานทั่วไป</v>
          </cell>
        </row>
        <row r="1198">
          <cell r="B1198" t="str">
            <v>6809001</v>
          </cell>
          <cell r="C1198" t="str">
            <v>นางสาว สกุลรัตน์ จันดา</v>
          </cell>
          <cell r="D1198" t="str">
            <v>TFC</v>
          </cell>
          <cell r="E1198" t="str">
            <v>รายวัน</v>
          </cell>
          <cell r="F1198" t="str">
            <v>CAR</v>
          </cell>
          <cell r="G1198" t="str">
            <v>พนักงานทั่วไป</v>
          </cell>
        </row>
        <row r="1199">
          <cell r="B1199" t="str">
            <v>6809002</v>
          </cell>
          <cell r="C1199" t="str">
            <v>นายอภิชาติ แรมเขียน</v>
          </cell>
          <cell r="D1199" t="str">
            <v>EN</v>
          </cell>
          <cell r="E1199" t="str">
            <v>รายเดือน</v>
          </cell>
          <cell r="F1199" t="str">
            <v>CAR</v>
          </cell>
          <cell r="G1199" t="str">
            <v>วิศวกรอาวุโส</v>
          </cell>
        </row>
        <row r="1200">
          <cell r="B1200" t="str">
            <v>6809003</v>
          </cell>
          <cell r="C1200" t="str">
            <v>นางสาว ยุพา ดวงแก้ว</v>
          </cell>
          <cell r="D1200" t="str">
            <v>QA/QC</v>
          </cell>
          <cell r="E1200" t="str">
            <v>รายเดือน</v>
          </cell>
          <cell r="F1200" t="str">
            <v>CAR</v>
          </cell>
          <cell r="G1200" t="str">
            <v>หัวหน้าหน่วย</v>
          </cell>
        </row>
        <row r="1201">
          <cell r="B1201" t="str">
            <v>6809004</v>
          </cell>
          <cell r="C1201" t="str">
            <v>นายวีรพันธ์ อุสารัมย์</v>
          </cell>
          <cell r="D1201" t="str">
            <v>EXT</v>
          </cell>
          <cell r="E1201" t="str">
            <v>รายเดือน</v>
          </cell>
          <cell r="F1201" t="str">
            <v>CAR</v>
          </cell>
          <cell r="G1201" t="str">
            <v>พนักงานทั่วไป</v>
          </cell>
        </row>
        <row r="1202">
          <cell r="B1202" t="str">
            <v>6809005</v>
          </cell>
          <cell r="C1202" t="str">
            <v>นาย สยุมภู พรมพินิจ</v>
          </cell>
          <cell r="D1202" t="str">
            <v>CUT</v>
          </cell>
          <cell r="E1202" t="str">
            <v>รายวัน</v>
          </cell>
          <cell r="F1202" t="str">
            <v>CAR</v>
          </cell>
          <cell r="G1202" t="str">
            <v>พนักงานทั่วไป</v>
          </cell>
        </row>
        <row r="1203">
          <cell r="B1203" t="str">
            <v>6809006</v>
          </cell>
          <cell r="C1203" t="str">
            <v>นาย อภิชัย พิมพ์วงค์</v>
          </cell>
          <cell r="D1203" t="str">
            <v>EXT</v>
          </cell>
          <cell r="E1203" t="str">
            <v>รายเดือน</v>
          </cell>
          <cell r="F1203" t="str">
            <v>CAR</v>
          </cell>
          <cell r="G1203" t="str">
            <v>พนักงานทั่วไป</v>
          </cell>
        </row>
        <row r="1204">
          <cell r="B1204" t="str">
            <v>6809007</v>
          </cell>
          <cell r="C1204" t="str">
            <v>นาย วีรพล เจริญวิทย์</v>
          </cell>
          <cell r="D1204" t="str">
            <v>MT</v>
          </cell>
          <cell r="E1204" t="str">
            <v>รายเดือน</v>
          </cell>
          <cell r="F1204" t="str">
            <v>CAR</v>
          </cell>
          <cell r="G1204" t="str">
            <v>ช่างซ่อมบำรุง</v>
          </cell>
        </row>
        <row r="1205">
          <cell r="B1205" t="str">
            <v>6809008</v>
          </cell>
          <cell r="C1205" t="str">
            <v>นาย ชะรัญญู ทองบัว</v>
          </cell>
          <cell r="D1205" t="str">
            <v>EN</v>
          </cell>
          <cell r="E1205" t="str">
            <v>รายเดือน</v>
          </cell>
          <cell r="F1205" t="str">
            <v>CAR</v>
          </cell>
          <cell r="G1205" t="str">
            <v>วิศวกร</v>
          </cell>
        </row>
        <row r="1206">
          <cell r="B1206" t="str">
            <v>6809009</v>
          </cell>
          <cell r="C1206" t="str">
            <v>นางสาว ณัฐกาญจน์ ทองดีเขียว</v>
          </cell>
          <cell r="D1206" t="str">
            <v>QA/QC</v>
          </cell>
          <cell r="E1206" t="str">
            <v>รายวัน</v>
          </cell>
          <cell r="F1206" t="str">
            <v>CAR</v>
          </cell>
          <cell r="G1206" t="str">
            <v>พนักงานทั่วไป</v>
          </cell>
        </row>
        <row r="1207">
          <cell r="B1207" t="str">
            <v>6810001</v>
          </cell>
          <cell r="C1207" t="str">
            <v>นาย วีระศักดิ์ สมัครการ</v>
          </cell>
          <cell r="D1207" t="str">
            <v>MT</v>
          </cell>
          <cell r="E1207" t="str">
            <v>รายเดือน</v>
          </cell>
          <cell r="F1207" t="str">
            <v>CAR</v>
          </cell>
          <cell r="G1207" t="str">
            <v>ผู้ช่วยผู้จัดการแผนก</v>
          </cell>
        </row>
        <row r="1208">
          <cell r="B1208" t="str">
            <v>6810002</v>
          </cell>
          <cell r="C1208" t="str">
            <v>นาย สหภาพ พรมมา</v>
          </cell>
          <cell r="D1208" t="str">
            <v>EN</v>
          </cell>
          <cell r="E1208" t="str">
            <v>รายเดือน</v>
          </cell>
          <cell r="F1208" t="str">
            <v>CAR</v>
          </cell>
          <cell r="G1208" t="str">
            <v>วิศวกร</v>
          </cell>
        </row>
        <row r="1209">
          <cell r="B1209" t="str">
            <v>6810003</v>
          </cell>
          <cell r="C1209" t="str">
            <v>นางสาว รุ่งตะวัน แหววกระโทก</v>
          </cell>
          <cell r="D1209" t="str">
            <v>PD</v>
          </cell>
          <cell r="E1209" t="str">
            <v>รายเดือน</v>
          </cell>
          <cell r="F1209" t="str">
            <v>CAR</v>
          </cell>
          <cell r="G1209" t="str">
            <v>พนักงานทั่วไป(Out-Going)</v>
          </cell>
        </row>
        <row r="1210">
          <cell r="B1210" t="str">
            <v>6810004</v>
          </cell>
          <cell r="C1210" t="str">
            <v>นางสาว สุภาพร กอรี</v>
          </cell>
          <cell r="D1210" t="str">
            <v>PD</v>
          </cell>
          <cell r="E1210" t="str">
            <v>รายเดือน</v>
          </cell>
          <cell r="F1210" t="str">
            <v>CAR</v>
          </cell>
          <cell r="G1210" t="str">
            <v>พนักงานทั่วไป(Out-Going)</v>
          </cell>
        </row>
        <row r="1211">
          <cell r="B1211" t="str">
            <v>6810005</v>
          </cell>
          <cell r="C1211" t="str">
            <v>นายพิธิวัฒน์ ผุดผ่อง</v>
          </cell>
          <cell r="D1211" t="str">
            <v>EXT</v>
          </cell>
          <cell r="E1211" t="str">
            <v>รายเดือน</v>
          </cell>
          <cell r="F1211" t="str">
            <v>CAR</v>
          </cell>
          <cell r="G1211" t="str">
            <v>พนักงานทั่วไป</v>
          </cell>
        </row>
        <row r="1212">
          <cell r="B1212" t="str">
            <v>6810006</v>
          </cell>
          <cell r="C1212" t="str">
            <v>นางสาว ณัฎฐ์พิมล ศรีแก้ว</v>
          </cell>
          <cell r="D1212" t="str">
            <v>PD</v>
          </cell>
          <cell r="E1212" t="str">
            <v>รายเดือน</v>
          </cell>
          <cell r="F1212" t="str">
            <v>CAR</v>
          </cell>
          <cell r="G1212" t="str">
            <v>พนักงานทั่วไป(Out-Going)</v>
          </cell>
        </row>
        <row r="1213">
          <cell r="B1213" t="str">
            <v>6810007</v>
          </cell>
          <cell r="C1213" t="str">
            <v>นางสาว สุพัตรา คำบึงกาง</v>
          </cell>
          <cell r="D1213" t="str">
            <v>FNG-4</v>
          </cell>
          <cell r="E1213" t="str">
            <v>รายวัน</v>
          </cell>
          <cell r="F1213" t="str">
            <v>CAR</v>
          </cell>
          <cell r="G1213" t="str">
            <v>พนักงานทั่วไป</v>
          </cell>
        </row>
        <row r="1214">
          <cell r="B1214" t="str">
            <v>6810008</v>
          </cell>
          <cell r="C1214" t="str">
            <v>นาย ณัฐกิชติ์ ทองหุ้ม</v>
          </cell>
          <cell r="D1214" t="str">
            <v>MT</v>
          </cell>
          <cell r="E1214" t="str">
            <v>รายเดือน</v>
          </cell>
          <cell r="F1214" t="str">
            <v>CAR</v>
          </cell>
          <cell r="G1214" t="str">
            <v>ช่างซ่อมบำรุง</v>
          </cell>
        </row>
        <row r="1215">
          <cell r="B1215" t="str">
            <v>6810009</v>
          </cell>
          <cell r="C1215" t="str">
            <v>นางสาว สิริลักษณ์ สถิตย์</v>
          </cell>
          <cell r="D1215" t="str">
            <v>PD</v>
          </cell>
          <cell r="E1215" t="str">
            <v>รายเดือน</v>
          </cell>
          <cell r="F1215" t="str">
            <v>CAR</v>
          </cell>
          <cell r="G1215" t="str">
            <v>พนักงานทั่วไป(Out-Going)</v>
          </cell>
        </row>
        <row r="1216">
          <cell r="B1216" t="str">
            <v>6810010</v>
          </cell>
          <cell r="C1216" t="str">
            <v>นาย พงษ์สิทธิ์ เจริญสุข</v>
          </cell>
          <cell r="D1216" t="str">
            <v>PD</v>
          </cell>
          <cell r="E1216" t="str">
            <v>รายเดือน</v>
          </cell>
          <cell r="F1216" t="str">
            <v>CAR</v>
          </cell>
          <cell r="G1216" t="str">
            <v>ช่างเทคนิคซ่อมและบำรุงรักษาแม่พิมพ์</v>
          </cell>
        </row>
        <row r="1217">
          <cell r="B1217" t="str">
            <v>6810011</v>
          </cell>
          <cell r="C1217" t="str">
            <v>นางสาว ภัทราพร ทองหล่อ</v>
          </cell>
          <cell r="D1217" t="str">
            <v>PU</v>
          </cell>
          <cell r="E1217" t="str">
            <v>รายเดือน</v>
          </cell>
          <cell r="F1217" t="str">
            <v>CAR</v>
          </cell>
          <cell r="G1217" t="str">
            <v>วิศวกรจัดซื้อ</v>
          </cell>
        </row>
        <row r="1218">
          <cell r="B1218" t="str">
            <v>6811001</v>
          </cell>
          <cell r="C1218" t="str">
            <v>นายโสภณ คำงาม</v>
          </cell>
          <cell r="D1218" t="str">
            <v>PD</v>
          </cell>
          <cell r="E1218" t="str">
            <v>รายเดือน</v>
          </cell>
          <cell r="F1218" t="str">
            <v>CAR</v>
          </cell>
          <cell r="G1218" t="str">
            <v>หัวหน้าหน่วย</v>
          </cell>
        </row>
        <row r="1219">
          <cell r="B1219" t="str">
            <v>6811002</v>
          </cell>
          <cell r="C1219" t="str">
            <v>นางสาว ธัญชนก บุญเชิด</v>
          </cell>
          <cell r="D1219" t="str">
            <v>FNG-4</v>
          </cell>
          <cell r="E1219" t="str">
            <v>รายวัน</v>
          </cell>
          <cell r="F1219" t="str">
            <v>CAR</v>
          </cell>
          <cell r="G1219" t="str">
            <v>พนักงานทั่วไป</v>
          </cell>
        </row>
        <row r="1220">
          <cell r="B1220" t="str">
            <v>6811003</v>
          </cell>
          <cell r="C1220" t="str">
            <v>นาย วัชรินทร์ สุขสวย</v>
          </cell>
          <cell r="D1220" t="str">
            <v>CUT</v>
          </cell>
          <cell r="E1220" t="str">
            <v>รายวัน</v>
          </cell>
          <cell r="F1220" t="str">
            <v>CAR</v>
          </cell>
          <cell r="G1220" t="str">
            <v>พนักงานทั่วไป</v>
          </cell>
        </row>
        <row r="1221">
          <cell r="B1221" t="str">
            <v>6811004</v>
          </cell>
          <cell r="C1221" t="str">
            <v>นางสาวอุไรวรรณ นามบุตร</v>
          </cell>
          <cell r="D1221" t="str">
            <v>FNG-4</v>
          </cell>
          <cell r="E1221" t="str">
            <v>รายวัน</v>
          </cell>
          <cell r="F1221" t="str">
            <v>CAR</v>
          </cell>
          <cell r="G1221" t="str">
            <v>พนักงานทั่วไป(ชั่วคราว)</v>
          </cell>
        </row>
        <row r="1222">
          <cell r="B1222" t="str">
            <v>6811005</v>
          </cell>
          <cell r="C1222" t="str">
            <v>นายรัฐการ คำพลงาม</v>
          </cell>
          <cell r="D1222" t="str">
            <v>EXT</v>
          </cell>
          <cell r="E1222" t="str">
            <v>รายเดือน</v>
          </cell>
          <cell r="F1222" t="str">
            <v>CAR</v>
          </cell>
          <cell r="G1222" t="str">
            <v>พนักงานทั่วไป</v>
          </cell>
        </row>
        <row r="1223">
          <cell r="B1223" t="str">
            <v>6811006</v>
          </cell>
          <cell r="C1223" t="str">
            <v>นางสาววารุณี ศิริวัฒน์</v>
          </cell>
          <cell r="D1223" t="str">
            <v>STO</v>
          </cell>
          <cell r="E1223" t="str">
            <v>รายวัน</v>
          </cell>
          <cell r="F1223" t="str">
            <v>CAR</v>
          </cell>
          <cell r="G1223" t="str">
            <v>พนักงานทั่วไป(ชั่วคราว)</v>
          </cell>
        </row>
        <row r="1224">
          <cell r="B1224" t="str">
            <v>6811007</v>
          </cell>
          <cell r="C1224" t="str">
            <v>นางสาววราพร จุมพลขันธ์</v>
          </cell>
          <cell r="D1224" t="str">
            <v>QA/QC</v>
          </cell>
          <cell r="E1224" t="str">
            <v>รายเดือน</v>
          </cell>
          <cell r="F1224" t="str">
            <v>CAR</v>
          </cell>
          <cell r="G1224" t="str">
            <v>พนักงานทั่วไป</v>
          </cell>
        </row>
        <row r="1225">
          <cell r="B1225" t="str">
            <v>6811008</v>
          </cell>
          <cell r="C1225" t="str">
            <v>นายสุภัทร ฉิมพลี</v>
          </cell>
          <cell r="D1225" t="str">
            <v>FMG-B</v>
          </cell>
          <cell r="E1225" t="str">
            <v>รายวัน</v>
          </cell>
          <cell r="F1225" t="str">
            <v>CAR</v>
          </cell>
          <cell r="G1225" t="str">
            <v>พนักงานทั่วไป</v>
          </cell>
        </row>
        <row r="1226">
          <cell r="B1226" t="str">
            <v>6812001</v>
          </cell>
          <cell r="C1226" t="str">
            <v>นางสาวช่อผกา เหล่าหงษา</v>
          </cell>
          <cell r="D1226" t="str">
            <v>STO</v>
          </cell>
          <cell r="E1226" t="str">
            <v>รายวัน</v>
          </cell>
          <cell r="F1226" t="str">
            <v>CAR</v>
          </cell>
          <cell r="G1226" t="str">
            <v>พนักงานทั่วไป</v>
          </cell>
        </row>
        <row r="1227">
          <cell r="B1227" t="str">
            <v>6812002</v>
          </cell>
          <cell r="C1227" t="str">
            <v>นางสาว อ้อมนิสา เอิบสุข</v>
          </cell>
          <cell r="D1227" t="str">
            <v>FNG-4</v>
          </cell>
          <cell r="E1227" t="str">
            <v>รายวัน</v>
          </cell>
          <cell r="F1227" t="str">
            <v>CAR</v>
          </cell>
          <cell r="G1227" t="str">
            <v>พนักงานทั่วไป(ชั่วคราว)</v>
          </cell>
        </row>
        <row r="1228">
          <cell r="B1228" t="str">
            <v>6812003</v>
          </cell>
          <cell r="C1228" t="str">
            <v>นางสาว วัลภา เตียวศิริตระกุล</v>
          </cell>
          <cell r="D1228" t="str">
            <v>PD</v>
          </cell>
          <cell r="E1228" t="str">
            <v>รายเดือน</v>
          </cell>
          <cell r="F1228" t="str">
            <v>CAR</v>
          </cell>
          <cell r="G1228" t="str">
            <v>พนักงานทั่วไป(Out-Going)</v>
          </cell>
        </row>
        <row r="1229">
          <cell r="B1229" t="str">
            <v>6812004</v>
          </cell>
          <cell r="C1229" t="str">
            <v>นายพีรพล เสาแก้วคำ</v>
          </cell>
          <cell r="D1229" t="str">
            <v>MT</v>
          </cell>
          <cell r="E1229" t="str">
            <v>รายเดือน</v>
          </cell>
          <cell r="F1229" t="str">
            <v>CAR</v>
          </cell>
          <cell r="G1229" t="str">
            <v>ช่างซ่อมบำรุง</v>
          </cell>
        </row>
        <row r="1230">
          <cell r="B1230" t="str">
            <v>6901001</v>
          </cell>
          <cell r="C1230" t="str">
            <v>นางสาว วราลี ทองพิมาย</v>
          </cell>
          <cell r="D1230" t="str">
            <v>TFC</v>
          </cell>
          <cell r="E1230" t="str">
            <v>รายวัน</v>
          </cell>
          <cell r="F1230" t="str">
            <v>CAR</v>
          </cell>
          <cell r="G1230" t="str">
            <v>พนักงานทั่วไป(ชั่วคราว)</v>
          </cell>
        </row>
        <row r="1231">
          <cell r="B1231" t="str">
            <v>6901002</v>
          </cell>
          <cell r="C1231" t="str">
            <v>นาย อนุวิท แก้วยก</v>
          </cell>
          <cell r="D1231" t="str">
            <v>MIX</v>
          </cell>
          <cell r="E1231" t="str">
            <v>รายวัน</v>
          </cell>
          <cell r="F1231" t="str">
            <v>CAR</v>
          </cell>
          <cell r="G1231" t="str">
            <v>พนักงานทั่วไป</v>
          </cell>
        </row>
        <row r="1232">
          <cell r="B1232" t="str">
            <v>6901003</v>
          </cell>
          <cell r="C1232" t="str">
            <v>นาย พุฒิพงษ์ เนื้ออ่อน</v>
          </cell>
          <cell r="D1232" t="str">
            <v>FMG-A</v>
          </cell>
          <cell r="E1232" t="str">
            <v>รายวัน</v>
          </cell>
          <cell r="F1232" t="str">
            <v>CAR</v>
          </cell>
          <cell r="G1232" t="str">
            <v>พนักงานทั่วไป</v>
          </cell>
        </row>
        <row r="1233">
          <cell r="B1233" t="str">
            <v>6901004</v>
          </cell>
          <cell r="C1233" t="str">
            <v>นาย ณัฐวุฒิ ทะดวง</v>
          </cell>
          <cell r="D1233" t="str">
            <v>FMG-B</v>
          </cell>
          <cell r="E1233" t="str">
            <v>รายวัน</v>
          </cell>
          <cell r="F1233" t="str">
            <v>CAR</v>
          </cell>
          <cell r="G1233" t="str">
            <v>พนักงานทั่วไป</v>
          </cell>
        </row>
        <row r="1234">
          <cell r="B1234" t="str">
            <v>6901005</v>
          </cell>
          <cell r="C1234" t="str">
            <v>นางสาว ภคนันท์ สารวัตร</v>
          </cell>
          <cell r="D1234" t="str">
            <v>FNG-6</v>
          </cell>
          <cell r="E1234" t="str">
            <v>รายวัน</v>
          </cell>
          <cell r="F1234" t="str">
            <v>CAR</v>
          </cell>
          <cell r="G1234" t="str">
            <v>พนักงานทั่วไป(ชั่วคราว)</v>
          </cell>
        </row>
        <row r="1235">
          <cell r="B1235" t="str">
            <v>6901006</v>
          </cell>
          <cell r="C1235" t="str">
            <v>นางสาว อนิลธิตา สติภา</v>
          </cell>
          <cell r="D1235" t="str">
            <v>FNG-6</v>
          </cell>
          <cell r="E1235" t="str">
            <v>รายวัน</v>
          </cell>
          <cell r="F1235" t="str">
            <v>CAR</v>
          </cell>
          <cell r="G1235" t="str">
            <v>พนักงานทั่วไป(ชั่วคราว)</v>
          </cell>
        </row>
        <row r="1236">
          <cell r="B1236" t="str">
            <v>6901007K</v>
          </cell>
          <cell r="C1236" t="str">
            <v>นาย คำใบ คำแก้ว</v>
          </cell>
          <cell r="D1236" t="str">
            <v>FNG-4</v>
          </cell>
          <cell r="E1236" t="str">
            <v>รายวัน</v>
          </cell>
          <cell r="F1236" t="str">
            <v>Sub Contract</v>
          </cell>
          <cell r="G1236" t="str">
            <v>พนักงานทั่วไป</v>
          </cell>
        </row>
        <row r="1237">
          <cell r="B1237" t="str">
            <v>6901008K</v>
          </cell>
          <cell r="C1237" t="str">
            <v>นาย ไกรทอง แก้วบัววง</v>
          </cell>
          <cell r="D1237" t="str">
            <v>FNG-4</v>
          </cell>
          <cell r="E1237" t="str">
            <v>รายวัน</v>
          </cell>
          <cell r="F1237" t="str">
            <v>Sub Contract</v>
          </cell>
          <cell r="G1237" t="str">
            <v>พนักงานทั่วไป</v>
          </cell>
        </row>
        <row r="1238">
          <cell r="B1238" t="str">
            <v>6901009</v>
          </cell>
          <cell r="C1238" t="str">
            <v>นาย คมพิทักษ์ ทองพุ</v>
          </cell>
          <cell r="D1238" t="str">
            <v>FMG-B</v>
          </cell>
          <cell r="E1238" t="str">
            <v>รายวัน</v>
          </cell>
          <cell r="F1238" t="str">
            <v>CAR</v>
          </cell>
          <cell r="G1238" t="str">
            <v>พนักงานทั่วไป</v>
          </cell>
        </row>
        <row r="1239">
          <cell r="B1239" t="str">
            <v>6901010</v>
          </cell>
          <cell r="C1239" t="str">
            <v>นาย ธนกฤต แช่มรัมย์</v>
          </cell>
          <cell r="D1239" t="str">
            <v>FMG-B</v>
          </cell>
          <cell r="E1239" t="str">
            <v>รายวัน</v>
          </cell>
          <cell r="F1239" t="str">
            <v>CAR</v>
          </cell>
          <cell r="G1239" t="str">
            <v>พนักงานทั่วไป</v>
          </cell>
        </row>
        <row r="1240">
          <cell r="B1240" t="str">
            <v>6901011</v>
          </cell>
          <cell r="C1240" t="str">
            <v>นางสาว ปนัดดา ผันสำโรง</v>
          </cell>
          <cell r="D1240" t="str">
            <v>TFC</v>
          </cell>
          <cell r="E1240" t="str">
            <v>รายวัน</v>
          </cell>
          <cell r="F1240" t="str">
            <v>CAR</v>
          </cell>
          <cell r="G1240" t="str">
            <v>พนักงานทั่วไป(ชั่วคราว)</v>
          </cell>
        </row>
        <row r="1241">
          <cell r="B1241" t="str">
            <v>6901012</v>
          </cell>
          <cell r="C1241" t="str">
            <v>นาง พรวิมล ดุสิทธิ์</v>
          </cell>
          <cell r="D1241" t="str">
            <v>FNG-4</v>
          </cell>
          <cell r="E1241" t="str">
            <v>รายวัน</v>
          </cell>
          <cell r="F1241" t="str">
            <v>CAR</v>
          </cell>
          <cell r="G1241" t="str">
            <v>พนักงานทั่วไป(ชั่วคราว)</v>
          </cell>
        </row>
        <row r="1242">
          <cell r="B1242" t="str">
            <v>6901013</v>
          </cell>
          <cell r="C1242" t="str">
            <v>นางสาว สุภาพ งอยภูธร</v>
          </cell>
          <cell r="D1242" t="str">
            <v>FNG-4</v>
          </cell>
          <cell r="E1242" t="str">
            <v>รายวัน</v>
          </cell>
          <cell r="F1242" t="str">
            <v>CAR</v>
          </cell>
          <cell r="G1242" t="str">
            <v>พนักงานทั่วไป(ชั่วคราว)</v>
          </cell>
        </row>
        <row r="1243">
          <cell r="B1243" t="str">
            <v>6901014</v>
          </cell>
          <cell r="C1243" t="str">
            <v>นาย ณัฐวุฒิ ตรีพงษ์</v>
          </cell>
          <cell r="D1243" t="str">
            <v>FMG-B</v>
          </cell>
          <cell r="E1243" t="str">
            <v>รายวัน</v>
          </cell>
          <cell r="F1243" t="str">
            <v>CAR</v>
          </cell>
          <cell r="G1243" t="str">
            <v>พนักงานทั่วไป</v>
          </cell>
        </row>
        <row r="1244">
          <cell r="B1244" t="str">
            <v xml:space="preserve">6901015  </v>
          </cell>
          <cell r="C1244" t="str">
            <v>นางสาว อัจฉรา ภูยาทิพย์</v>
          </cell>
          <cell r="D1244" t="str">
            <v>FNG-4</v>
          </cell>
          <cell r="E1244" t="str">
            <v>รายวัน</v>
          </cell>
          <cell r="F1244" t="str">
            <v>CAR</v>
          </cell>
          <cell r="G1244" t="str">
            <v>พนักงานทั่วไป(ชั่วคราว)</v>
          </cell>
        </row>
        <row r="1245">
          <cell r="B1245" t="str">
            <v>6901016</v>
          </cell>
          <cell r="C1245" t="str">
            <v>นาย ณัฐวุฒิ แสนกล้า</v>
          </cell>
          <cell r="D1245" t="str">
            <v>FMG-B</v>
          </cell>
          <cell r="E1245" t="str">
            <v>รายวัน</v>
          </cell>
          <cell r="F1245" t="str">
            <v>CAR</v>
          </cell>
          <cell r="G1245" t="str">
            <v>พนักงานทั่วไป</v>
          </cell>
        </row>
        <row r="1246">
          <cell r="B1246" t="str">
            <v>6901017</v>
          </cell>
          <cell r="C1246" t="str">
            <v>นางสาว เสาวลักษณ์ สดเสมอ</v>
          </cell>
          <cell r="D1246" t="str">
            <v>FNG-6</v>
          </cell>
          <cell r="E1246" t="str">
            <v>รายวัน</v>
          </cell>
          <cell r="F1246" t="str">
            <v>CAR</v>
          </cell>
          <cell r="G1246" t="str">
            <v>พนักงานทั่วไป(ชั่วคราว)</v>
          </cell>
        </row>
        <row r="1247">
          <cell r="B1247" t="str">
            <v>6901018</v>
          </cell>
          <cell r="C1247" t="str">
            <v>นาย ธีระวัฒน์ เมืองทอง</v>
          </cell>
          <cell r="D1247" t="str">
            <v>PD</v>
          </cell>
          <cell r="E1247" t="str">
            <v>รายเดือน</v>
          </cell>
          <cell r="F1247" t="str">
            <v>CAR</v>
          </cell>
          <cell r="G1247" t="str">
            <v>ผู้ช่วยผู้จัดการแผนก</v>
          </cell>
        </row>
        <row r="1248">
          <cell r="B1248" t="str">
            <v>6901019</v>
          </cell>
          <cell r="C1248" t="str">
            <v>นาย เกริกชัย วงษ์หาแต้ม</v>
          </cell>
          <cell r="D1248" t="str">
            <v>EXT</v>
          </cell>
          <cell r="E1248" t="str">
            <v>รายวัน</v>
          </cell>
          <cell r="F1248" t="str">
            <v>CAR</v>
          </cell>
          <cell r="G1248" t="str">
            <v>พนักงานทั่วไป</v>
          </cell>
        </row>
        <row r="1249">
          <cell r="B1249" t="str">
            <v>6901020</v>
          </cell>
          <cell r="C1249" t="str">
            <v>นางสาว ประภาพร พิมดา</v>
          </cell>
          <cell r="D1249" t="str">
            <v>QA/QC</v>
          </cell>
          <cell r="E1249" t="str">
            <v>รายเดือน</v>
          </cell>
          <cell r="F1249" t="str">
            <v>CAR</v>
          </cell>
          <cell r="G1249" t="str">
            <v>พนักงานทั่วไป</v>
          </cell>
        </row>
        <row r="1250">
          <cell r="B1250" t="str">
            <v>6901021</v>
          </cell>
          <cell r="C1250" t="str">
            <v>นางสาว ฐิติพร บำเพ็ญพงษ์</v>
          </cell>
          <cell r="D1250" t="str">
            <v>STO</v>
          </cell>
          <cell r="E1250" t="str">
            <v>รายวัน</v>
          </cell>
          <cell r="F1250" t="str">
            <v>CAR</v>
          </cell>
          <cell r="G1250" t="str">
            <v>พนักงานทั่วไป(ชั่วคราว)</v>
          </cell>
        </row>
        <row r="1251">
          <cell r="B1251" t="str">
            <v>6902001</v>
          </cell>
          <cell r="C1251" t="str">
            <v>นายณัฐนันท์ ลี้หิรัญญพงศ์</v>
          </cell>
          <cell r="D1251" t="str">
            <v>PD</v>
          </cell>
          <cell r="E1251" t="str">
            <v>รายเดือน</v>
          </cell>
          <cell r="F1251" t="str">
            <v>CAR</v>
          </cell>
          <cell r="G1251" t="str">
            <v>ผู้จัดการแผนก</v>
          </cell>
        </row>
        <row r="1252">
          <cell r="B1252" t="str">
            <v>6902002</v>
          </cell>
          <cell r="C1252" t="str">
            <v>นายวีระ บุญหอม</v>
          </cell>
          <cell r="D1252" t="str">
            <v>PD</v>
          </cell>
          <cell r="E1252" t="str">
            <v>รายเดือน</v>
          </cell>
          <cell r="F1252" t="str">
            <v>CAR</v>
          </cell>
          <cell r="G1252" t="str">
            <v>ช่างเทคนิคซ่อมและบำรุงรักษาแม่พิมพ์</v>
          </cell>
        </row>
        <row r="1253">
          <cell r="B1253" t="str">
            <v>6902003</v>
          </cell>
          <cell r="C1253" t="str">
            <v>นางสาว ธัญสินี สิงห์ช่วย</v>
          </cell>
          <cell r="D1253" t="str">
            <v>STO</v>
          </cell>
          <cell r="E1253" t="str">
            <v>รายวัน</v>
          </cell>
          <cell r="F1253" t="str">
            <v>CAR</v>
          </cell>
          <cell r="G1253" t="str">
            <v>พนักงานทั่วไป(ชั่วคราว)</v>
          </cell>
        </row>
        <row r="1254">
          <cell r="B1254" t="str">
            <v>6902004</v>
          </cell>
          <cell r="C1254" t="str">
            <v>นาย สุรชัย บุญเหมาะ</v>
          </cell>
          <cell r="D1254" t="str">
            <v>MIX</v>
          </cell>
          <cell r="E1254" t="str">
            <v>รายวัน</v>
          </cell>
          <cell r="F1254" t="str">
            <v>CAR</v>
          </cell>
          <cell r="G1254" t="str">
            <v>พนักงานทั่วไป</v>
          </cell>
        </row>
        <row r="1255">
          <cell r="B1255" t="str">
            <v>6902005</v>
          </cell>
          <cell r="C1255" t="str">
            <v>นาย บุญเรือง เครือวัลย์</v>
          </cell>
          <cell r="D1255" t="str">
            <v>MT</v>
          </cell>
          <cell r="E1255" t="str">
            <v>รายเดือน</v>
          </cell>
          <cell r="F1255" t="str">
            <v>CAR</v>
          </cell>
          <cell r="G1255" t="str">
            <v>ช่างซ่อมบำรุง</v>
          </cell>
        </row>
        <row r="1256">
          <cell r="B1256">
            <v>6902006</v>
          </cell>
          <cell r="C1256" t="str">
            <v>นางสาว จันต์จุฑา ทวีชัย</v>
          </cell>
          <cell r="D1256" t="str">
            <v>EN</v>
          </cell>
          <cell r="E1256" t="str">
            <v>รายเดือน</v>
          </cell>
          <cell r="F1256" t="str">
            <v>CAR</v>
          </cell>
          <cell r="G1256" t="str">
            <v>วิศวกร</v>
          </cell>
        </row>
        <row r="1257">
          <cell r="B1257" t="str">
            <v>6902007</v>
          </cell>
          <cell r="C1257" t="str">
            <v>นางสาว พนิดา พองพรหม</v>
          </cell>
          <cell r="D1257" t="str">
            <v>TFC</v>
          </cell>
          <cell r="E1257" t="str">
            <v>รายวัน</v>
          </cell>
          <cell r="F1257" t="str">
            <v>CAR</v>
          </cell>
          <cell r="G1257" t="str">
            <v>พนักงานทั่วไป(ชั่วคราว)</v>
          </cell>
        </row>
        <row r="1258">
          <cell r="B1258">
            <v>6902008</v>
          </cell>
          <cell r="C1258" t="str">
            <v>นาย สันติ พุฒวา</v>
          </cell>
          <cell r="D1258" t="str">
            <v>FMG-B</v>
          </cell>
          <cell r="E1258" t="str">
            <v>รายวัน</v>
          </cell>
          <cell r="F1258" t="str">
            <v>CAR</v>
          </cell>
          <cell r="G1258" t="str">
            <v>พนักงานทั่วไป</v>
          </cell>
        </row>
        <row r="1259">
          <cell r="B1259">
            <v>6902009</v>
          </cell>
          <cell r="C1259" t="str">
            <v>นาย พีรพล สมานวัน</v>
          </cell>
          <cell r="D1259" t="str">
            <v>FMG-B</v>
          </cell>
          <cell r="E1259" t="str">
            <v>รายวัน</v>
          </cell>
          <cell r="F1259" t="str">
            <v>CAR</v>
          </cell>
          <cell r="G1259" t="str">
            <v>พนักงานทั่วไป</v>
          </cell>
        </row>
        <row r="1260">
          <cell r="B1260">
            <v>6902010</v>
          </cell>
          <cell r="C1260" t="str">
            <v>นาย ณัฐพงษ์ โกลัวะ</v>
          </cell>
          <cell r="D1260" t="str">
            <v>EXT</v>
          </cell>
          <cell r="E1260" t="str">
            <v>รายวัน</v>
          </cell>
          <cell r="F1260" t="str">
            <v>CAR</v>
          </cell>
          <cell r="G1260" t="str">
            <v>พนักงานทั่วไป</v>
          </cell>
        </row>
        <row r="1261">
          <cell r="B1261" t="str">
            <v>6903001K</v>
          </cell>
          <cell r="C1261" t="str">
            <v>นาย เลิด -</v>
          </cell>
          <cell r="D1261" t="str">
            <v>FMG-A</v>
          </cell>
          <cell r="E1261" t="str">
            <v>รายวัน</v>
          </cell>
          <cell r="F1261" t="str">
            <v>Sub Contract</v>
          </cell>
          <cell r="G1261" t="str">
            <v>พนักงานทั่วไป</v>
          </cell>
        </row>
        <row r="1262">
          <cell r="B1262" t="str">
            <v>6903002K</v>
          </cell>
          <cell r="C1262" t="str">
            <v>นาย พุด ไชยะสัก</v>
          </cell>
          <cell r="D1262" t="str">
            <v>FMG-B</v>
          </cell>
          <cell r="E1262" t="str">
            <v>รายวัน</v>
          </cell>
          <cell r="F1262" t="str">
            <v>Sub Contract</v>
          </cell>
          <cell r="G1262" t="str">
            <v>พนักงานทั่วไป</v>
          </cell>
        </row>
        <row r="1263">
          <cell r="B1263" t="str">
            <v>6903003K</v>
          </cell>
          <cell r="C1263" t="str">
            <v>นาย เยว -</v>
          </cell>
          <cell r="D1263" t="str">
            <v>FMG-B</v>
          </cell>
          <cell r="E1263" t="str">
            <v>รายวัน</v>
          </cell>
          <cell r="F1263" t="str">
            <v>Sub Contract</v>
          </cell>
          <cell r="G1263" t="str">
            <v>พนักงานทั่วไป</v>
          </cell>
        </row>
        <row r="1264">
          <cell r="B1264" t="str">
            <v>6903004K</v>
          </cell>
          <cell r="C1264" t="str">
            <v>นาย จัน -</v>
          </cell>
          <cell r="D1264" t="str">
            <v>FMG-A</v>
          </cell>
          <cell r="E1264" t="str">
            <v>รายวัน</v>
          </cell>
          <cell r="F1264" t="str">
            <v>Sub Contract</v>
          </cell>
          <cell r="G1264" t="str">
            <v>พนักงานทั่วไป</v>
          </cell>
        </row>
        <row r="1265">
          <cell r="B1265" t="str">
            <v>6903005K</v>
          </cell>
          <cell r="C1265" t="str">
            <v>นาย สมแน๊ก สุลิไช</v>
          </cell>
          <cell r="D1265" t="str">
            <v>FMG-B</v>
          </cell>
          <cell r="E1265" t="str">
            <v>รายวัน</v>
          </cell>
          <cell r="F1265" t="str">
            <v>Sub Contract</v>
          </cell>
          <cell r="G1265" t="str">
            <v>พนักงานทั่วไป</v>
          </cell>
        </row>
        <row r="1266">
          <cell r="B1266" t="str">
            <v>6903006K</v>
          </cell>
          <cell r="C1266" t="str">
            <v>นาย มาลาคำ -</v>
          </cell>
          <cell r="D1266" t="str">
            <v>FMG-B</v>
          </cell>
          <cell r="E1266" t="str">
            <v>รายวัน</v>
          </cell>
          <cell r="F1266" t="str">
            <v>Sub Contract</v>
          </cell>
          <cell r="G1266" t="str">
            <v>พนักงานทั่วไป</v>
          </cell>
        </row>
        <row r="1267">
          <cell r="B1267" t="str">
            <v>6903007K</v>
          </cell>
          <cell r="C1267" t="str">
            <v>นาย คำสี แก้วสัมพู</v>
          </cell>
          <cell r="D1267" t="str">
            <v>FMG-B</v>
          </cell>
          <cell r="E1267" t="str">
            <v>รายวัน</v>
          </cell>
          <cell r="F1267" t="str">
            <v>Sub Contract</v>
          </cell>
          <cell r="G1267" t="str">
            <v>พนักงานทั่วไป</v>
          </cell>
        </row>
        <row r="1268">
          <cell r="B1268" t="str">
            <v>6903008K</v>
          </cell>
          <cell r="C1268" t="str">
            <v>นาย บุญมี มะนีเพ็ด</v>
          </cell>
          <cell r="D1268" t="str">
            <v>EXT</v>
          </cell>
          <cell r="E1268" t="str">
            <v>รายวัน</v>
          </cell>
          <cell r="F1268" t="str">
            <v>Sub Contract</v>
          </cell>
          <cell r="G1268" t="str">
            <v>พนักงานทั่วไป</v>
          </cell>
        </row>
        <row r="1269">
          <cell r="B1269" t="str">
            <v>6903009K</v>
          </cell>
          <cell r="C1269" t="str">
            <v>นางสาวมัง แก้วสัมพู</v>
          </cell>
          <cell r="D1269" t="str">
            <v>FNG-4</v>
          </cell>
          <cell r="E1269" t="str">
            <v>รายวัน</v>
          </cell>
          <cell r="F1269" t="str">
            <v>Sub Contract</v>
          </cell>
          <cell r="G1269" t="str">
            <v>พนักงานทั่วไป</v>
          </cell>
        </row>
        <row r="1270">
          <cell r="B1270" t="str">
            <v>6903010</v>
          </cell>
          <cell r="C1270" t="str">
            <v>นายนรากร ยุคะรัง</v>
          </cell>
          <cell r="D1270" t="str">
            <v>EXT</v>
          </cell>
          <cell r="E1270" t="str">
            <v>รายเดือน</v>
          </cell>
          <cell r="F1270" t="str">
            <v>CAR</v>
          </cell>
          <cell r="G1270" t="str">
            <v>พนักงานทั่วไป</v>
          </cell>
        </row>
        <row r="1271">
          <cell r="B1271" t="str">
            <v>6903011</v>
          </cell>
          <cell r="C1271" t="str">
            <v>นางสาวอัญญณัฐ มีชุน</v>
          </cell>
          <cell r="D1271" t="str">
            <v>PD</v>
          </cell>
          <cell r="E1271" t="str">
            <v>รายเดือน</v>
          </cell>
          <cell r="F1271" t="str">
            <v>CAR</v>
          </cell>
          <cell r="G1271" t="str">
            <v>พนักงานทั่วไป(ชั่วคราว)</v>
          </cell>
        </row>
        <row r="1272">
          <cell r="B1272" t="str">
            <v>6903012</v>
          </cell>
          <cell r="C1272" t="str">
            <v>นางสาว ชญานิษฐ์ โคตรศรี</v>
          </cell>
          <cell r="D1272" t="str">
            <v>FNG-4</v>
          </cell>
          <cell r="E1272" t="str">
            <v>รายวัน</v>
          </cell>
          <cell r="F1272" t="str">
            <v>CAR</v>
          </cell>
          <cell r="G1272" t="str">
            <v>พนักงานทั่วไป(ชั่วคราว)</v>
          </cell>
        </row>
        <row r="1273">
          <cell r="B1273" t="str">
            <v>6903013</v>
          </cell>
          <cell r="C1273" t="str">
            <v>นางสาว ศิริพร ทองบ่อมะกรูด</v>
          </cell>
          <cell r="D1273" t="str">
            <v>TFC</v>
          </cell>
          <cell r="E1273" t="str">
            <v>รายวัน</v>
          </cell>
          <cell r="F1273" t="str">
            <v>CAR</v>
          </cell>
          <cell r="G1273" t="str">
            <v>พนักงานทั่วไป(ชั่วคราว)</v>
          </cell>
        </row>
        <row r="1274">
          <cell r="B1274" t="str">
            <v>6903014</v>
          </cell>
          <cell r="C1274" t="str">
            <v>นางสาว พัชรีย์ ไฝชัยภูมิ</v>
          </cell>
          <cell r="D1274" t="str">
            <v>QA/QC</v>
          </cell>
          <cell r="E1274" t="str">
            <v>รายวัน</v>
          </cell>
          <cell r="F1274" t="str">
            <v>CAR</v>
          </cell>
          <cell r="G1274" t="str">
            <v>พนักงานทั่วไป(ชั่วคราว)</v>
          </cell>
        </row>
        <row r="1275">
          <cell r="B1275" t="str">
            <v>6903015</v>
          </cell>
          <cell r="C1275" t="str">
            <v>นางสาว อรทัย บุญกล้า</v>
          </cell>
          <cell r="D1275" t="str">
            <v>PD</v>
          </cell>
          <cell r="E1275" t="str">
            <v>รายเดือน</v>
          </cell>
          <cell r="F1275" t="str">
            <v>CAR</v>
          </cell>
          <cell r="G1275" t="str">
            <v>พนักงานทั่วไป(ชั่วคราว)</v>
          </cell>
        </row>
        <row r="1276">
          <cell r="B1276" t="str">
            <v>6903016</v>
          </cell>
          <cell r="C1276" t="str">
            <v>นายนิจติพล มิตรภาพ</v>
          </cell>
          <cell r="D1276" t="str">
            <v>FMG-A</v>
          </cell>
          <cell r="E1276" t="str">
            <v>รายวัน</v>
          </cell>
          <cell r="F1276" t="str">
            <v>CAR</v>
          </cell>
          <cell r="G1276" t="str">
            <v>พนักงานทั่วไป</v>
          </cell>
        </row>
        <row r="1277">
          <cell r="B1277" t="str">
            <v>6903017</v>
          </cell>
          <cell r="C1277" t="str">
            <v>นายคเชนทร์ บุญสิทธิ์</v>
          </cell>
          <cell r="D1277" t="str">
            <v>FMG-B</v>
          </cell>
          <cell r="E1277" t="str">
            <v>รายวัน</v>
          </cell>
          <cell r="F1277" t="str">
            <v>CAR</v>
          </cell>
          <cell r="G1277" t="str">
            <v>พนักงานทั่วไป</v>
          </cell>
        </row>
        <row r="1278">
          <cell r="B1278" t="str">
            <v>6904001</v>
          </cell>
          <cell r="C1278" t="str">
            <v>นางสาว วิลาวรรณ สวนไธสง</v>
          </cell>
          <cell r="D1278" t="str">
            <v>FNG-3</v>
          </cell>
          <cell r="E1278" t="str">
            <v>รายวัน</v>
          </cell>
          <cell r="F1278" t="str">
            <v>CAR</v>
          </cell>
          <cell r="G1278" t="str">
            <v>พนักงานทั่วไป(ชั่วคราว)</v>
          </cell>
        </row>
        <row r="1279">
          <cell r="B1279" t="str">
            <v>6904002</v>
          </cell>
          <cell r="C1279" t="str">
            <v>นางสาว รพีพรรณ มงคลกุล</v>
          </cell>
          <cell r="D1279" t="str">
            <v>FNG-3</v>
          </cell>
          <cell r="E1279" t="str">
            <v>รายวัน</v>
          </cell>
          <cell r="F1279" t="str">
            <v>CAR</v>
          </cell>
          <cell r="G1279" t="str">
            <v>พนักงานทั่วไป(ชั่วคราว)</v>
          </cell>
        </row>
        <row r="1280">
          <cell r="B1280" t="str">
            <v>6904003</v>
          </cell>
          <cell r="C1280" t="str">
            <v>นาย มนตรี แก้วพูนทรัพย์</v>
          </cell>
          <cell r="D1280" t="str">
            <v>FMG-B</v>
          </cell>
          <cell r="E1280" t="str">
            <v>รายวัน</v>
          </cell>
          <cell r="F1280" t="str">
            <v>CAR</v>
          </cell>
          <cell r="G1280" t="str">
            <v>พนักงานทั่วไป</v>
          </cell>
        </row>
        <row r="1281">
          <cell r="B1281" t="str">
            <v>6904004</v>
          </cell>
          <cell r="C1281" t="str">
            <v>นางสาว สุพัฒตรา สีวะโสภา</v>
          </cell>
          <cell r="D1281" t="str">
            <v>FNG-1</v>
          </cell>
          <cell r="E1281" t="str">
            <v>รายวัน</v>
          </cell>
          <cell r="F1281" t="str">
            <v>CAR</v>
          </cell>
          <cell r="G1281" t="str">
            <v>พนักงานทั่วไป(ชั่วคราว)</v>
          </cell>
        </row>
        <row r="1282">
          <cell r="B1282" t="str">
            <v>6904005S</v>
          </cell>
          <cell r="C1282" t="str">
            <v>นาย นัยน์ชนก เอี่ยมทอง</v>
          </cell>
          <cell r="D1282" t="str">
            <v>HR&amp;GA/ IT</v>
          </cell>
          <cell r="E1282" t="str">
            <v>รายวัน</v>
          </cell>
          <cell r="F1282" t="str">
            <v>CAR</v>
          </cell>
          <cell r="G1282" t="str">
            <v>นักศึกษาฝึกงาน</v>
          </cell>
        </row>
        <row r="1283">
          <cell r="B1283" t="str">
            <v>6904006</v>
          </cell>
          <cell r="C1283" t="str">
            <v>นางสาว อัจฉราวรรณ จักษุกรรฐ์</v>
          </cell>
          <cell r="D1283" t="str">
            <v>PD</v>
          </cell>
          <cell r="E1283" t="str">
            <v>รายเดือน</v>
          </cell>
          <cell r="F1283" t="str">
            <v>CAR</v>
          </cell>
          <cell r="G1283" t="str">
            <v>ผู้ช่วยหัวหน้าหน่วย</v>
          </cell>
        </row>
        <row r="1284">
          <cell r="B1284" t="str">
            <v>6904007</v>
          </cell>
          <cell r="C1284" t="str">
            <v>นาย กิตติกร วรพันธ์</v>
          </cell>
          <cell r="D1284" t="str">
            <v>FMG-B</v>
          </cell>
          <cell r="E1284" t="str">
            <v>รายวัน</v>
          </cell>
          <cell r="F1284" t="str">
            <v>CAR</v>
          </cell>
          <cell r="G1284" t="str">
            <v>พนักงานทั่วไป</v>
          </cell>
        </row>
        <row r="1285">
          <cell r="B1285" t="str">
            <v>6904008</v>
          </cell>
          <cell r="C1285" t="str">
            <v>นาย ธวัชชัย เชื้อวังคำ</v>
          </cell>
          <cell r="D1285" t="str">
            <v>FMG-A</v>
          </cell>
          <cell r="E1285" t="str">
            <v>รายวัน</v>
          </cell>
          <cell r="F1285" t="str">
            <v>CAR</v>
          </cell>
          <cell r="G1285" t="str">
            <v>พนักงานทั่วไป</v>
          </cell>
        </row>
        <row r="1286">
          <cell r="B1286" t="str">
            <v>6904009</v>
          </cell>
          <cell r="C1286" t="str">
            <v>นาย เจษฎากร ศรีหนาจ</v>
          </cell>
          <cell r="D1286" t="str">
            <v>FMG-A</v>
          </cell>
          <cell r="E1286" t="str">
            <v>รายวัน</v>
          </cell>
          <cell r="F1286" t="str">
            <v>CAR</v>
          </cell>
          <cell r="G1286" t="str">
            <v>พนักงานทั่วไป</v>
          </cell>
        </row>
        <row r="1287">
          <cell r="B1287" t="str">
            <v>6904010</v>
          </cell>
          <cell r="C1287" t="str">
            <v>นางสาว อมรรัตน์ มีอาษา</v>
          </cell>
          <cell r="D1287" t="str">
            <v>QA/QC</v>
          </cell>
          <cell r="E1287" t="str">
            <v>รายเดือน</v>
          </cell>
          <cell r="F1287" t="str">
            <v>CAR</v>
          </cell>
          <cell r="G1287" t="str">
            <v>QC Line</v>
          </cell>
        </row>
        <row r="1288">
          <cell r="B1288" t="str">
            <v>6904011</v>
          </cell>
          <cell r="C1288" t="str">
            <v>นางสาว กัญญาภัค สุวรรณโณ</v>
          </cell>
          <cell r="D1288" t="str">
            <v>FNG-3</v>
          </cell>
          <cell r="E1288" t="str">
            <v>รายวัน</v>
          </cell>
          <cell r="F1288" t="str">
            <v>CAR</v>
          </cell>
          <cell r="G1288" t="str">
            <v>พนักงานทั่วไป(ชั่วคราว)</v>
          </cell>
        </row>
        <row r="1289">
          <cell r="B1289" t="str">
            <v>6904012</v>
          </cell>
          <cell r="C1289" t="str">
            <v>นางสาว ตรีเพชร แวดไทสง</v>
          </cell>
          <cell r="D1289" t="str">
            <v>EN</v>
          </cell>
          <cell r="E1289" t="str">
            <v>รายวัน</v>
          </cell>
          <cell r="F1289" t="str">
            <v>CAR</v>
          </cell>
          <cell r="G1289" t="str">
            <v>พนักงานทั่วไป</v>
          </cell>
        </row>
        <row r="1290">
          <cell r="B1290" t="str">
            <v>6904013</v>
          </cell>
          <cell r="C1290" t="str">
            <v>นาย สุอนันต์ หาญประโดน</v>
          </cell>
          <cell r="D1290" t="str">
            <v>FMG-A</v>
          </cell>
          <cell r="E1290" t="str">
            <v>รายวัน</v>
          </cell>
          <cell r="F1290" t="str">
            <v>CAR</v>
          </cell>
          <cell r="G1290" t="str">
            <v>พนักงานทั่วไป</v>
          </cell>
        </row>
        <row r="1291">
          <cell r="B1291" t="str">
            <v>6904014</v>
          </cell>
          <cell r="C1291" t="str">
            <v>นางสาว วาสนา บุพลับ</v>
          </cell>
          <cell r="D1291" t="str">
            <v>FNG-3</v>
          </cell>
          <cell r="E1291" t="str">
            <v>รายวัน</v>
          </cell>
          <cell r="F1291" t="str">
            <v>CAR</v>
          </cell>
          <cell r="G1291" t="str">
            <v>พนักงานทั่วไป(ชั่วคราว)</v>
          </cell>
        </row>
        <row r="1292">
          <cell r="B1292" t="str">
            <v>6904015</v>
          </cell>
          <cell r="C1292" t="str">
            <v>นางสาว สุภาวดี เวฬุวรรณ</v>
          </cell>
          <cell r="D1292" t="str">
            <v>FNG-4</v>
          </cell>
          <cell r="E1292" t="str">
            <v>รายวัน</v>
          </cell>
          <cell r="F1292" t="str">
            <v>CAR</v>
          </cell>
          <cell r="G1292" t="str">
            <v>พนักงานทั่วไป(ชั่วคราว)</v>
          </cell>
        </row>
        <row r="1293">
          <cell r="B1293" t="str">
            <v>6904016</v>
          </cell>
          <cell r="C1293" t="str">
            <v>นางสาว นฤมล จำรัมย์</v>
          </cell>
          <cell r="D1293" t="str">
            <v>FNG-3</v>
          </cell>
          <cell r="E1293" t="str">
            <v>รายวัน</v>
          </cell>
          <cell r="F1293" t="str">
            <v>CAR</v>
          </cell>
          <cell r="G1293" t="str">
            <v>พนักงานทั่วไป(ชั่วคราว)</v>
          </cell>
        </row>
        <row r="1294">
          <cell r="B1294" t="str">
            <v>6904017</v>
          </cell>
          <cell r="C1294" t="str">
            <v>นางสาว อนุธิตา ดาดง</v>
          </cell>
          <cell r="D1294" t="str">
            <v>FNG-3</v>
          </cell>
          <cell r="E1294" t="str">
            <v>รายวัน</v>
          </cell>
          <cell r="F1294" t="str">
            <v>CAR</v>
          </cell>
          <cell r="G1294" t="str">
            <v>พนักงานทั่วไป(ชั่วคราว)</v>
          </cell>
        </row>
        <row r="1295">
          <cell r="B1295" t="str">
            <v>6904018</v>
          </cell>
          <cell r="C1295" t="str">
            <v>นางสาว ณัฏฐวรินท์ อนุสาสนนัน</v>
          </cell>
          <cell r="D1295" t="str">
            <v>FNG-1</v>
          </cell>
          <cell r="E1295" t="str">
            <v>รายวัน</v>
          </cell>
          <cell r="F1295" t="str">
            <v>CAR</v>
          </cell>
          <cell r="G1295" t="str">
            <v>พนักงานทั่วไป(ชั่วคราว)</v>
          </cell>
        </row>
        <row r="1296">
          <cell r="B1296" t="str">
            <v>6905001</v>
          </cell>
          <cell r="C1296" t="str">
            <v>นางสาว นริศรา สาสอน</v>
          </cell>
          <cell r="D1296" t="str">
            <v>EN</v>
          </cell>
          <cell r="E1296" t="str">
            <v>รายเดือน</v>
          </cell>
          <cell r="F1296" t="str">
            <v>CAR</v>
          </cell>
          <cell r="G1296" t="str">
            <v>หัวหน้าแผนก</v>
          </cell>
        </row>
        <row r="1297">
          <cell r="B1297" t="str">
            <v>6905002</v>
          </cell>
          <cell r="C1297" t="str">
            <v>นาย ณปกรณ์ สวัสดิ์พูน</v>
          </cell>
          <cell r="D1297" t="str">
            <v>FMG-B</v>
          </cell>
          <cell r="E1297" t="str">
            <v>รายวัน</v>
          </cell>
          <cell r="F1297" t="str">
            <v>CAR</v>
          </cell>
          <cell r="G1297" t="str">
            <v>พนักงานทั่วไป</v>
          </cell>
        </row>
        <row r="1298">
          <cell r="B1298" t="str">
            <v>6905003S</v>
          </cell>
          <cell r="C1298" t="str">
            <v>นาย ปุณณวิช ภูประเสริฐ</v>
          </cell>
          <cell r="D1298" t="str">
            <v>HR&amp;GA/ IT</v>
          </cell>
          <cell r="E1298" t="str">
            <v>รายวัน</v>
          </cell>
          <cell r="F1298" t="str">
            <v>CAR</v>
          </cell>
          <cell r="G1298" t="str">
            <v>นักศึกษาฝึกงาน</v>
          </cell>
        </row>
        <row r="1299">
          <cell r="B1299" t="str">
            <v>6905004</v>
          </cell>
          <cell r="C1299" t="str">
            <v>นาย ณรงค์ศักดิ์ ดาวบริบูรณ์</v>
          </cell>
          <cell r="D1299" t="str">
            <v>PD</v>
          </cell>
          <cell r="E1299" t="str">
            <v>รายเดือน</v>
          </cell>
          <cell r="F1299" t="str">
            <v>CAR</v>
          </cell>
          <cell r="G1299" t="str">
            <v>หัวหน้าแผนก</v>
          </cell>
        </row>
        <row r="1300">
          <cell r="B1300" t="str">
            <v>6905005S</v>
          </cell>
          <cell r="C1300" t="str">
            <v>นางสาว ณัฐณิชา ชุมภู</v>
          </cell>
          <cell r="D1300" t="str">
            <v>HR&amp;GA/ IT</v>
          </cell>
          <cell r="E1300" t="str">
            <v>รายวัน</v>
          </cell>
          <cell r="F1300" t="str">
            <v>CAR</v>
          </cell>
          <cell r="G1300" t="str">
            <v>นักศึกษาฝึกงาน</v>
          </cell>
        </row>
        <row r="1301">
          <cell r="B1301" t="str">
            <v>6905006</v>
          </cell>
          <cell r="C1301" t="str">
            <v>นาย อานันท์ รอดกลาง</v>
          </cell>
          <cell r="D1301" t="str">
            <v>PD</v>
          </cell>
          <cell r="E1301" t="str">
            <v>รายเดือน</v>
          </cell>
          <cell r="F1301" t="str">
            <v>CAR</v>
          </cell>
          <cell r="G1301" t="str">
            <v>หัวหน้าหน่วย</v>
          </cell>
        </row>
        <row r="1302">
          <cell r="B1302" t="str">
            <v>6905007</v>
          </cell>
          <cell r="C1302" t="str">
            <v>นางสาว นพรัตน์ สิ่งผือ</v>
          </cell>
          <cell r="D1302" t="str">
            <v>FNG-4</v>
          </cell>
          <cell r="E1302" t="str">
            <v>รายวัน</v>
          </cell>
          <cell r="F1302" t="str">
            <v>CAR</v>
          </cell>
          <cell r="G1302" t="str">
            <v>พนักงานทั่วไป(ชั่วคราว)</v>
          </cell>
        </row>
        <row r="1303">
          <cell r="B1303" t="str">
            <v>6905008</v>
          </cell>
          <cell r="C1303" t="str">
            <v>นางสาว สุกัญญา สุวรรณรัตน์</v>
          </cell>
          <cell r="D1303" t="str">
            <v>FNG-3</v>
          </cell>
          <cell r="E1303" t="str">
            <v>รายวัน</v>
          </cell>
          <cell r="F1303" t="str">
            <v>CAR</v>
          </cell>
          <cell r="G1303" t="str">
            <v>พนักงานทั่วไป(ชั่วคราว)</v>
          </cell>
        </row>
        <row r="1304">
          <cell r="B1304" t="str">
            <v>6905009K</v>
          </cell>
          <cell r="C1304" t="str">
            <v>นายบุญเลิด อุ่นคำแดง</v>
          </cell>
          <cell r="D1304" t="str">
            <v>FMG-B</v>
          </cell>
          <cell r="E1304" t="str">
            <v>รายวัน</v>
          </cell>
          <cell r="F1304" t="str">
            <v>Sub Contract</v>
          </cell>
          <cell r="G1304" t="str">
            <v>พนักงานทั่วไป</v>
          </cell>
        </row>
        <row r="1305">
          <cell r="B1305" t="str">
            <v>6905010</v>
          </cell>
          <cell r="C1305" t="str">
            <v>นาย อภิสิทธิ์ อุดม</v>
          </cell>
          <cell r="D1305" t="str">
            <v>CUT</v>
          </cell>
          <cell r="E1305" t="str">
            <v>รายวัน</v>
          </cell>
          <cell r="F1305" t="str">
            <v>CAR</v>
          </cell>
          <cell r="G1305" t="str">
            <v>พนักงานทั่วไป</v>
          </cell>
        </row>
        <row r="1306">
          <cell r="B1306" t="str">
            <v>6905011</v>
          </cell>
          <cell r="C1306" t="str">
            <v>นาย ธีรวัฒน์ งอนมี</v>
          </cell>
          <cell r="D1306" t="str">
            <v>MIX</v>
          </cell>
          <cell r="E1306" t="str">
            <v>รายวัน</v>
          </cell>
          <cell r="F1306" t="str">
            <v>CAR</v>
          </cell>
          <cell r="G1306" t="str">
            <v>พนักงานทั่วไป</v>
          </cell>
        </row>
        <row r="1307">
          <cell r="B1307" t="str">
            <v>6905012</v>
          </cell>
          <cell r="C1307" t="str">
            <v>นางสาว ณัฐธิดา โทแสง</v>
          </cell>
          <cell r="D1307" t="str">
            <v>EN</v>
          </cell>
          <cell r="E1307" t="str">
            <v>รายวัน</v>
          </cell>
          <cell r="F1307" t="str">
            <v>CAR</v>
          </cell>
          <cell r="G1307" t="str">
            <v>พนักงานทั่วไป</v>
          </cell>
        </row>
        <row r="1308">
          <cell r="B1308" t="str">
            <v>6905013</v>
          </cell>
          <cell r="C1308" t="str">
            <v>นาย กิตตินันท์ ป้องจันทร์</v>
          </cell>
          <cell r="D1308" t="str">
            <v>FMG-B</v>
          </cell>
          <cell r="E1308" t="str">
            <v>รายวัน</v>
          </cell>
          <cell r="F1308" t="str">
            <v>CAR</v>
          </cell>
          <cell r="G1308" t="str">
            <v>พนักงานทั่วไป</v>
          </cell>
        </row>
        <row r="1309">
          <cell r="B1309" t="str">
            <v>6905014</v>
          </cell>
          <cell r="C1309" t="str">
            <v>นาย ประดิษฐ์ เกษหงษ์</v>
          </cell>
          <cell r="D1309" t="str">
            <v>FMG-B</v>
          </cell>
          <cell r="E1309" t="str">
            <v>รายวัน</v>
          </cell>
          <cell r="F1309" t="str">
            <v>CAR</v>
          </cell>
          <cell r="G1309" t="str">
            <v>พนักงานทั่วไป</v>
          </cell>
        </row>
        <row r="1310">
          <cell r="B1310" t="str">
            <v>6905015S</v>
          </cell>
          <cell r="C1310" t="str">
            <v>นาย ภรณพล สังฆัสโร</v>
          </cell>
          <cell r="D1310" t="str">
            <v>PD</v>
          </cell>
          <cell r="E1310" t="str">
            <v>รายวัน</v>
          </cell>
          <cell r="F1310" t="str">
            <v>CAR</v>
          </cell>
          <cell r="G1310" t="str">
            <v>นักศึกษาฝึกงาน</v>
          </cell>
        </row>
        <row r="1311">
          <cell r="B1311" t="str">
            <v>6905016S</v>
          </cell>
          <cell r="C1311" t="str">
            <v>นาย กษิดิ์เดช คงศรี</v>
          </cell>
          <cell r="D1311" t="str">
            <v>EN</v>
          </cell>
          <cell r="E1311" t="str">
            <v>รายวัน</v>
          </cell>
          <cell r="F1311" t="str">
            <v>CAR</v>
          </cell>
          <cell r="G1311" t="str">
            <v>นักศึกษาฝึกงาน</v>
          </cell>
        </row>
        <row r="1312">
          <cell r="B1312" t="str">
            <v>6905017S</v>
          </cell>
          <cell r="C1312" t="str">
            <v>นาย ธีทัต ชูศรีหะรัญ</v>
          </cell>
          <cell r="D1312" t="str">
            <v>R &amp; D</v>
          </cell>
          <cell r="E1312" t="str">
            <v>รายวัน</v>
          </cell>
          <cell r="F1312" t="str">
            <v>CAR</v>
          </cell>
          <cell r="G1312" t="str">
            <v>นักศึกษาฝึกงาน</v>
          </cell>
        </row>
        <row r="1313">
          <cell r="B1313" t="str">
            <v>6905018</v>
          </cell>
          <cell r="C1313" t="str">
            <v>นางสาว จิราภรณ์ น้อยบาท</v>
          </cell>
          <cell r="D1313" t="str">
            <v>FNG-4</v>
          </cell>
          <cell r="E1313" t="str">
            <v>รายวัน</v>
          </cell>
          <cell r="F1313" t="str">
            <v>CAR</v>
          </cell>
          <cell r="G1313" t="str">
            <v>พนักงานทั่วไป</v>
          </cell>
        </row>
        <row r="1314">
          <cell r="B1314" t="str">
            <v>6905019</v>
          </cell>
          <cell r="C1314" t="str">
            <v>นาย ศุภกิจ สังขฤทธิ์</v>
          </cell>
          <cell r="D1314" t="str">
            <v>PD</v>
          </cell>
          <cell r="E1314" t="str">
            <v>รายเดือน</v>
          </cell>
          <cell r="F1314" t="str">
            <v>CAR</v>
          </cell>
          <cell r="G1314" t="str">
            <v>ช่างเทคนิคเตรียมและบำรุงรักษาแม่พิมพ์</v>
          </cell>
        </row>
        <row r="1315">
          <cell r="B1315" t="str">
            <v>6905020</v>
          </cell>
          <cell r="C1315" t="str">
            <v>นาย นพพล ทองยืน</v>
          </cell>
          <cell r="D1315" t="str">
            <v>FMG-A</v>
          </cell>
          <cell r="E1315" t="str">
            <v>รายวัน</v>
          </cell>
          <cell r="F1315" t="str">
            <v>CAR</v>
          </cell>
          <cell r="G1315" t="str">
            <v>พนักงานทั่วไป</v>
          </cell>
        </row>
        <row r="1316">
          <cell r="B1316" t="str">
            <v>6905021</v>
          </cell>
          <cell r="C1316" t="str">
            <v>นาย ณัฐติชัย แก้วภู</v>
          </cell>
          <cell r="D1316" t="str">
            <v>FMG-A</v>
          </cell>
          <cell r="E1316" t="str">
            <v>รายวัน</v>
          </cell>
          <cell r="F1316" t="str">
            <v>CAR</v>
          </cell>
          <cell r="G1316" t="str">
            <v>พนักงานทั่วไป</v>
          </cell>
        </row>
        <row r="1317">
          <cell r="B1317" t="str">
            <v>6905022</v>
          </cell>
          <cell r="C1317" t="str">
            <v>นาย นราธิป มั่นยืน</v>
          </cell>
          <cell r="D1317" t="str">
            <v>MIX</v>
          </cell>
          <cell r="E1317" t="str">
            <v>รายวัน</v>
          </cell>
          <cell r="F1317" t="str">
            <v>CAR</v>
          </cell>
          <cell r="G1317" t="str">
            <v>พนักงานทั่วไป</v>
          </cell>
        </row>
        <row r="1318">
          <cell r="B1318" t="str">
            <v>6905023</v>
          </cell>
          <cell r="C1318" t="str">
            <v>นาย พิทักษ์ บุญชม</v>
          </cell>
          <cell r="D1318" t="str">
            <v>QA/QC</v>
          </cell>
          <cell r="E1318" t="str">
            <v>รายเดือน</v>
          </cell>
          <cell r="F1318" t="str">
            <v>CAR</v>
          </cell>
          <cell r="G1318" t="str">
            <v>ผู้จัดการแผนก</v>
          </cell>
        </row>
        <row r="1319">
          <cell r="B1319" t="str">
            <v>6905024</v>
          </cell>
          <cell r="C1319" t="str">
            <v>นาย ธีรศักดิ์ พิมซันน์</v>
          </cell>
          <cell r="D1319" t="str">
            <v>FMG-A</v>
          </cell>
          <cell r="E1319" t="str">
            <v>รายวัน</v>
          </cell>
          <cell r="F1319" t="str">
            <v>CAR</v>
          </cell>
          <cell r="G1319" t="str">
            <v>พนักงานทั่วไป</v>
          </cell>
        </row>
        <row r="1320">
          <cell r="B1320" t="str">
            <v>6905025</v>
          </cell>
          <cell r="C1320" t="str">
            <v>นางสาว อุทุมพร น้ำผึ้ง</v>
          </cell>
          <cell r="D1320" t="str">
            <v>FNG-4</v>
          </cell>
          <cell r="E1320" t="str">
            <v>รายวัน</v>
          </cell>
          <cell r="F1320" t="str">
            <v>CAR</v>
          </cell>
          <cell r="G1320" t="str">
            <v>พนักงานทั่วไป(ชั่วคราว)</v>
          </cell>
        </row>
        <row r="1321">
          <cell r="B1321" t="str">
            <v>6906001</v>
          </cell>
          <cell r="C1321" t="str">
            <v>นาย สุรวิทย์ คณะชาติ</v>
          </cell>
          <cell r="D1321" t="str">
            <v>FMG-B</v>
          </cell>
          <cell r="E1321" t="str">
            <v>รายวัน</v>
          </cell>
          <cell r="F1321" t="str">
            <v>CAR</v>
          </cell>
          <cell r="G1321" t="str">
            <v>พนักงานทั่วไป</v>
          </cell>
        </row>
        <row r="1322">
          <cell r="B1322" t="str">
            <v>6906002</v>
          </cell>
          <cell r="C1322" t="str">
            <v>นางสาว ธัญวรัตน์ ทองพรม</v>
          </cell>
          <cell r="D1322" t="str">
            <v>PU</v>
          </cell>
          <cell r="E1322" t="str">
            <v>รายเดือน</v>
          </cell>
          <cell r="F1322" t="str">
            <v>CAR</v>
          </cell>
          <cell r="G1322" t="str">
            <v>วิศวกรอาวุโส</v>
          </cell>
        </row>
        <row r="1323">
          <cell r="B1323" t="str">
            <v>6906003</v>
          </cell>
          <cell r="C1323" t="str">
            <v>นาย ภิชัย นามนทา</v>
          </cell>
          <cell r="D1323" t="str">
            <v>FMG-B</v>
          </cell>
          <cell r="E1323" t="str">
            <v>รายวัน</v>
          </cell>
          <cell r="F1323" t="str">
            <v>CAR</v>
          </cell>
          <cell r="G1323" t="str">
            <v>พนักงานทั่วไป</v>
          </cell>
        </row>
        <row r="1324">
          <cell r="B1324" t="str">
            <v>6906004</v>
          </cell>
          <cell r="C1324" t="str">
            <v>นาย ดนัยเทพ ขาวแก้ว</v>
          </cell>
          <cell r="D1324" t="str">
            <v>MT</v>
          </cell>
          <cell r="E1324" t="str">
            <v>รายเดือน</v>
          </cell>
          <cell r="F1324" t="str">
            <v>CAR</v>
          </cell>
          <cell r="G1324" t="str">
            <v>ช่างซ่อมบำรุง</v>
          </cell>
        </row>
        <row r="1325">
          <cell r="B1325" t="str">
            <v>6906005</v>
          </cell>
          <cell r="C1325" t="str">
            <v>นางสาว จันทร์จิรา เชยกาญจน์</v>
          </cell>
          <cell r="D1325" t="str">
            <v>QA/QC</v>
          </cell>
          <cell r="E1325" t="str">
            <v>รายเดือน</v>
          </cell>
          <cell r="F1325" t="str">
            <v>CAR</v>
          </cell>
          <cell r="G1325" t="str">
            <v>QC Line</v>
          </cell>
        </row>
        <row r="1326">
          <cell r="B1326" t="str">
            <v>6906006</v>
          </cell>
          <cell r="C1326" t="str">
            <v>นาย สุริยา มารานนท์</v>
          </cell>
          <cell r="D1326" t="str">
            <v>FMG-A</v>
          </cell>
          <cell r="E1326" t="str">
            <v>รายวัน</v>
          </cell>
          <cell r="F1326" t="str">
            <v>CAR</v>
          </cell>
          <cell r="G1326" t="str">
            <v>พนักงานทั่วไป</v>
          </cell>
        </row>
        <row r="1327">
          <cell r="B1327" t="str">
            <v>6906007</v>
          </cell>
          <cell r="C1327" t="str">
            <v>นาย อนันต์สิน เรืองทวีมีลาภ</v>
          </cell>
          <cell r="D1327" t="str">
            <v>FMG-A</v>
          </cell>
          <cell r="E1327" t="str">
            <v>รายวัน</v>
          </cell>
          <cell r="F1327" t="str">
            <v>CAR</v>
          </cell>
          <cell r="G1327" t="str">
            <v>พนักงานทั่วไป</v>
          </cell>
        </row>
        <row r="1328">
          <cell r="B1328" t="str">
            <v>6907001</v>
          </cell>
          <cell r="C1328" t="str">
            <v>นาย แสงสุรีย์ แมนไธสง</v>
          </cell>
          <cell r="D1328" t="str">
            <v>FMG-B</v>
          </cell>
          <cell r="E1328" t="str">
            <v>รายวัน</v>
          </cell>
          <cell r="F1328" t="str">
            <v>CAR</v>
          </cell>
          <cell r="G1328" t="str">
            <v>พนักงานทั่วไป</v>
          </cell>
        </row>
        <row r="1329">
          <cell r="B1329" t="str">
            <v>6907002</v>
          </cell>
          <cell r="C1329" t="str">
            <v>นาย อดิชาติ พลหงษ์</v>
          </cell>
          <cell r="D1329" t="str">
            <v>FMG-B</v>
          </cell>
          <cell r="E1329" t="str">
            <v>รายวัน</v>
          </cell>
          <cell r="F1329" t="str">
            <v>CAR</v>
          </cell>
          <cell r="G1329" t="str">
            <v>พนักงานทั่วไป</v>
          </cell>
        </row>
        <row r="1330">
          <cell r="B1330" t="str">
            <v>6907003</v>
          </cell>
          <cell r="C1330" t="str">
            <v>นาย ศรัณย์ แสงมา</v>
          </cell>
          <cell r="D1330" t="str">
            <v>FMG-B</v>
          </cell>
          <cell r="E1330" t="str">
            <v>รายวัน</v>
          </cell>
          <cell r="F1330" t="str">
            <v>CAR</v>
          </cell>
          <cell r="G1330" t="str">
            <v>พนักงานทั่วไป</v>
          </cell>
        </row>
        <row r="1331">
          <cell r="B1331"/>
          <cell r="C1331"/>
          <cell r="D1331"/>
          <cell r="E1331"/>
          <cell r="F1331"/>
          <cell r="G1331"/>
        </row>
        <row r="1332">
          <cell r="B1332"/>
          <cell r="C1332"/>
          <cell r="D1332"/>
          <cell r="E1332"/>
          <cell r="F1332"/>
          <cell r="G1332"/>
        </row>
        <row r="1333">
          <cell r="B1333"/>
          <cell r="C1333"/>
          <cell r="D1333"/>
          <cell r="E1333"/>
          <cell r="F1333"/>
          <cell r="G1333"/>
        </row>
        <row r="1334">
          <cell r="B1334"/>
          <cell r="C1334"/>
          <cell r="D1334"/>
          <cell r="E1334"/>
          <cell r="F1334"/>
          <cell r="G1334"/>
        </row>
        <row r="1335">
          <cell r="B1335"/>
          <cell r="C1335"/>
          <cell r="D1335"/>
          <cell r="E1335"/>
          <cell r="F1335"/>
          <cell r="G1335"/>
        </row>
        <row r="1336">
          <cell r="B1336"/>
          <cell r="C1336"/>
          <cell r="D1336"/>
          <cell r="E1336"/>
          <cell r="F1336"/>
          <cell r="G1336"/>
        </row>
        <row r="1337">
          <cell r="B1337"/>
          <cell r="C1337"/>
          <cell r="D1337"/>
          <cell r="E1337"/>
          <cell r="F1337"/>
          <cell r="G1337"/>
        </row>
        <row r="1338">
          <cell r="B1338"/>
          <cell r="C1338"/>
          <cell r="D1338"/>
          <cell r="E1338"/>
          <cell r="F1338"/>
          <cell r="G1338"/>
        </row>
        <row r="1339">
          <cell r="B1339"/>
          <cell r="C1339"/>
          <cell r="D1339"/>
          <cell r="E1339"/>
          <cell r="F1339"/>
          <cell r="G1339"/>
        </row>
        <row r="1340">
          <cell r="B1340"/>
          <cell r="C1340"/>
          <cell r="D1340"/>
          <cell r="E1340"/>
          <cell r="F1340"/>
          <cell r="G1340"/>
        </row>
        <row r="1341">
          <cell r="B1341"/>
          <cell r="C1341"/>
          <cell r="D1341"/>
          <cell r="E1341"/>
          <cell r="F1341"/>
          <cell r="G1341"/>
        </row>
        <row r="1342">
          <cell r="B1342"/>
          <cell r="C1342"/>
          <cell r="D1342"/>
          <cell r="E1342"/>
          <cell r="F1342"/>
          <cell r="G1342"/>
        </row>
        <row r="1343">
          <cell r="B1343"/>
          <cell r="C1343"/>
          <cell r="D1343"/>
          <cell r="E1343"/>
          <cell r="F1343"/>
          <cell r="G1343"/>
        </row>
        <row r="1344">
          <cell r="B1344"/>
          <cell r="C1344"/>
          <cell r="D1344"/>
          <cell r="E1344"/>
          <cell r="F1344"/>
          <cell r="G1344"/>
        </row>
        <row r="1345">
          <cell r="B1345"/>
          <cell r="C1345"/>
          <cell r="D1345"/>
          <cell r="E1345"/>
          <cell r="F1345"/>
          <cell r="G1345"/>
        </row>
        <row r="1346">
          <cell r="B1346"/>
          <cell r="C1346"/>
          <cell r="D1346"/>
          <cell r="E1346"/>
          <cell r="F1346"/>
          <cell r="G1346"/>
        </row>
        <row r="1347">
          <cell r="B1347"/>
          <cell r="C1347"/>
          <cell r="D1347"/>
          <cell r="E1347"/>
          <cell r="F1347"/>
          <cell r="G1347"/>
        </row>
        <row r="1348">
          <cell r="B1348"/>
          <cell r="C1348"/>
          <cell r="D1348"/>
          <cell r="E1348"/>
          <cell r="F1348"/>
          <cell r="G1348"/>
        </row>
        <row r="1349">
          <cell r="B1349"/>
          <cell r="C1349"/>
          <cell r="D1349"/>
          <cell r="E1349"/>
          <cell r="F1349"/>
          <cell r="G1349"/>
        </row>
        <row r="1350">
          <cell r="B1350"/>
          <cell r="C1350"/>
          <cell r="D1350"/>
          <cell r="E1350"/>
          <cell r="F1350"/>
          <cell r="G1350"/>
        </row>
        <row r="1351">
          <cell r="B1351"/>
          <cell r="C1351"/>
          <cell r="D1351"/>
          <cell r="E1351"/>
          <cell r="F1351"/>
          <cell r="G1351"/>
        </row>
        <row r="1352">
          <cell r="B1352"/>
          <cell r="C1352"/>
          <cell r="D1352"/>
          <cell r="E1352"/>
          <cell r="F1352"/>
          <cell r="G1352"/>
        </row>
        <row r="1353">
          <cell r="B1353"/>
          <cell r="C1353"/>
          <cell r="D1353"/>
          <cell r="E1353"/>
          <cell r="F1353"/>
          <cell r="G1353"/>
        </row>
        <row r="1354">
          <cell r="B1354"/>
          <cell r="C1354"/>
          <cell r="D1354"/>
          <cell r="E1354"/>
          <cell r="F1354"/>
          <cell r="G1354"/>
        </row>
        <row r="1355">
          <cell r="B1355"/>
          <cell r="C1355"/>
          <cell r="D1355"/>
          <cell r="E1355"/>
          <cell r="F1355"/>
          <cell r="G1355"/>
        </row>
        <row r="1356">
          <cell r="B1356"/>
          <cell r="C1356"/>
          <cell r="D1356"/>
          <cell r="E1356"/>
          <cell r="F1356"/>
          <cell r="G1356"/>
        </row>
        <row r="1357">
          <cell r="B1357"/>
          <cell r="C1357"/>
          <cell r="D1357"/>
          <cell r="E1357"/>
          <cell r="F1357"/>
          <cell r="G1357"/>
        </row>
        <row r="1358">
          <cell r="B1358"/>
          <cell r="C1358"/>
          <cell r="D1358"/>
          <cell r="E1358"/>
          <cell r="F1358"/>
          <cell r="G1358"/>
        </row>
        <row r="1359">
          <cell r="B1359"/>
          <cell r="C1359"/>
          <cell r="D1359"/>
          <cell r="E1359"/>
          <cell r="F1359"/>
          <cell r="G1359"/>
        </row>
        <row r="1360">
          <cell r="B1360"/>
          <cell r="C1360"/>
          <cell r="D1360"/>
          <cell r="E1360"/>
          <cell r="F1360"/>
          <cell r="G1360"/>
        </row>
        <row r="1361">
          <cell r="B1361"/>
          <cell r="C1361"/>
          <cell r="D1361"/>
          <cell r="E1361"/>
          <cell r="F1361"/>
          <cell r="G1361"/>
        </row>
        <row r="1362">
          <cell r="B1362"/>
          <cell r="C1362"/>
          <cell r="D1362"/>
          <cell r="E1362"/>
          <cell r="F1362"/>
          <cell r="G1362"/>
        </row>
        <row r="1363">
          <cell r="B1363"/>
          <cell r="C1363"/>
          <cell r="D1363"/>
          <cell r="E1363"/>
          <cell r="F1363"/>
          <cell r="G1363"/>
        </row>
        <row r="1364">
          <cell r="B1364"/>
          <cell r="C1364"/>
          <cell r="D1364"/>
          <cell r="E1364"/>
          <cell r="F1364"/>
          <cell r="G1364"/>
        </row>
        <row r="1365">
          <cell r="B1365"/>
          <cell r="C1365"/>
          <cell r="D1365"/>
          <cell r="E1365"/>
          <cell r="F1365"/>
          <cell r="G1365"/>
        </row>
        <row r="1366">
          <cell r="B1366"/>
          <cell r="C1366"/>
          <cell r="D1366"/>
          <cell r="E1366"/>
          <cell r="F1366"/>
          <cell r="G1366"/>
        </row>
        <row r="1367">
          <cell r="B1367"/>
          <cell r="C1367"/>
          <cell r="D1367"/>
          <cell r="E1367"/>
          <cell r="F1367"/>
          <cell r="G1367"/>
        </row>
        <row r="1368">
          <cell r="B1368"/>
          <cell r="C1368"/>
          <cell r="D1368"/>
          <cell r="E1368"/>
          <cell r="F1368"/>
          <cell r="G1368"/>
        </row>
        <row r="1369">
          <cell r="B1369"/>
          <cell r="C1369"/>
          <cell r="D1369"/>
          <cell r="E1369"/>
          <cell r="F1369"/>
          <cell r="G1369"/>
        </row>
        <row r="1370">
          <cell r="B1370"/>
          <cell r="C1370"/>
          <cell r="D1370"/>
          <cell r="E1370"/>
          <cell r="F1370"/>
          <cell r="G1370"/>
        </row>
        <row r="1371">
          <cell r="B1371"/>
          <cell r="C1371"/>
          <cell r="D1371"/>
          <cell r="E1371"/>
          <cell r="F1371"/>
          <cell r="G1371"/>
        </row>
        <row r="1372">
          <cell r="B1372"/>
          <cell r="C1372"/>
          <cell r="D1372"/>
          <cell r="E1372"/>
          <cell r="F1372"/>
          <cell r="G1372"/>
        </row>
        <row r="1373">
          <cell r="B1373"/>
          <cell r="C1373"/>
          <cell r="D1373"/>
          <cell r="E1373"/>
          <cell r="F1373"/>
          <cell r="G1373"/>
        </row>
        <row r="1374">
          <cell r="B1374"/>
          <cell r="C1374"/>
          <cell r="D1374"/>
          <cell r="E1374"/>
          <cell r="F1374"/>
          <cell r="G1374"/>
        </row>
        <row r="1375">
          <cell r="B1375"/>
          <cell r="C1375"/>
          <cell r="D1375"/>
          <cell r="E1375"/>
          <cell r="F1375"/>
          <cell r="G1375"/>
        </row>
        <row r="1376">
          <cell r="B1376"/>
          <cell r="C1376"/>
          <cell r="D1376"/>
          <cell r="E1376"/>
          <cell r="F1376"/>
          <cell r="G1376"/>
        </row>
        <row r="1377">
          <cell r="B1377"/>
          <cell r="C1377"/>
          <cell r="D1377"/>
          <cell r="E1377"/>
          <cell r="F1377"/>
          <cell r="G1377"/>
        </row>
        <row r="1378">
          <cell r="B1378"/>
          <cell r="C1378"/>
          <cell r="D1378"/>
          <cell r="E1378"/>
          <cell r="F1378"/>
          <cell r="G1378"/>
        </row>
        <row r="1379">
          <cell r="B1379"/>
          <cell r="C1379"/>
          <cell r="D1379"/>
          <cell r="E1379"/>
          <cell r="F1379"/>
          <cell r="G1379"/>
        </row>
        <row r="1380">
          <cell r="B1380"/>
          <cell r="C1380"/>
          <cell r="D1380"/>
          <cell r="E1380"/>
          <cell r="F1380"/>
          <cell r="G1380"/>
        </row>
        <row r="1381">
          <cell r="B1381"/>
          <cell r="C1381"/>
          <cell r="D1381"/>
          <cell r="E1381"/>
          <cell r="F1381"/>
          <cell r="G1381"/>
        </row>
        <row r="1382">
          <cell r="B1382"/>
          <cell r="C1382"/>
          <cell r="D1382"/>
          <cell r="E1382"/>
          <cell r="F1382"/>
          <cell r="G1382"/>
        </row>
        <row r="1383">
          <cell r="B1383"/>
          <cell r="C1383"/>
          <cell r="D1383"/>
          <cell r="E1383"/>
          <cell r="F1383"/>
          <cell r="G1383"/>
        </row>
        <row r="1384">
          <cell r="B1384"/>
          <cell r="C1384"/>
          <cell r="D1384"/>
          <cell r="E1384"/>
          <cell r="F1384"/>
          <cell r="G1384"/>
        </row>
        <row r="1385">
          <cell r="B1385"/>
          <cell r="C1385"/>
          <cell r="D1385"/>
          <cell r="E1385"/>
          <cell r="F1385"/>
          <cell r="G1385"/>
        </row>
        <row r="1386">
          <cell r="B1386"/>
          <cell r="C1386"/>
          <cell r="D1386"/>
          <cell r="E1386"/>
          <cell r="F1386"/>
          <cell r="G1386"/>
        </row>
        <row r="1387">
          <cell r="B1387"/>
          <cell r="C1387"/>
          <cell r="D1387"/>
          <cell r="E1387"/>
          <cell r="F1387"/>
          <cell r="G1387"/>
        </row>
        <row r="1388">
          <cell r="B1388"/>
          <cell r="C1388"/>
          <cell r="D1388"/>
          <cell r="E1388"/>
          <cell r="F1388"/>
          <cell r="G1388"/>
        </row>
        <row r="1389">
          <cell r="B1389"/>
          <cell r="C1389"/>
          <cell r="D1389"/>
          <cell r="E1389"/>
          <cell r="F1389"/>
          <cell r="G1389"/>
        </row>
        <row r="1390">
          <cell r="B1390"/>
          <cell r="C1390"/>
          <cell r="D1390"/>
          <cell r="E1390"/>
          <cell r="F1390"/>
          <cell r="G1390"/>
        </row>
        <row r="1391">
          <cell r="B1391"/>
          <cell r="C1391"/>
          <cell r="D1391"/>
          <cell r="E1391"/>
          <cell r="F1391"/>
          <cell r="G1391"/>
        </row>
        <row r="1392">
          <cell r="B1392"/>
          <cell r="C1392"/>
          <cell r="D1392"/>
          <cell r="E1392"/>
          <cell r="F1392"/>
          <cell r="G1392"/>
        </row>
        <row r="1393">
          <cell r="B1393"/>
          <cell r="C1393"/>
          <cell r="D1393"/>
          <cell r="E1393"/>
          <cell r="F1393"/>
          <cell r="G1393"/>
        </row>
        <row r="1394">
          <cell r="B1394"/>
          <cell r="C1394"/>
          <cell r="D1394"/>
          <cell r="E1394"/>
          <cell r="F1394"/>
          <cell r="G1394"/>
        </row>
        <row r="1395">
          <cell r="B1395"/>
          <cell r="C1395"/>
          <cell r="D1395"/>
          <cell r="E1395"/>
          <cell r="F1395"/>
          <cell r="G139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45F3-E1A6-41B0-807A-ECE08C47D065}">
  <sheetPr>
    <tabColor rgb="FF92D050"/>
  </sheetPr>
  <dimension ref="A1:Z47"/>
  <sheetViews>
    <sheetView tabSelected="1" zoomScale="85" zoomScaleNormal="85" zoomScaleSheetLayoutView="100" workbookViewId="0">
      <selection activeCell="A4" sqref="A4"/>
    </sheetView>
  </sheetViews>
  <sheetFormatPr defaultRowHeight="14.5" x14ac:dyDescent="0.35"/>
  <cols>
    <col min="1" max="1" width="55.453125" customWidth="1"/>
    <col min="2" max="6" width="6.453125" customWidth="1"/>
    <col min="7" max="7" width="7.453125" customWidth="1"/>
    <col min="8" max="8" width="9.1796875" customWidth="1"/>
    <col min="9" max="13" width="5.453125" customWidth="1"/>
    <col min="14" max="14" width="6.453125" customWidth="1"/>
    <col min="15" max="15" width="9.1796875" customWidth="1"/>
    <col min="16" max="20" width="5.453125" customWidth="1"/>
    <col min="21" max="21" width="6.453125" customWidth="1"/>
    <col min="22" max="22" width="9.1796875" customWidth="1"/>
    <col min="23" max="23" width="6.453125" customWidth="1"/>
    <col min="24" max="24" width="34.453125" customWidth="1"/>
  </cols>
  <sheetData>
    <row r="1" spans="1:26" ht="15" thickBot="1" x14ac:dyDescent="0.4"/>
    <row r="2" spans="1:26" ht="27" customHeight="1" thickBot="1" x14ac:dyDescent="0.7">
      <c r="A2" s="1" t="s">
        <v>0</v>
      </c>
      <c r="B2" s="2" t="s">
        <v>1</v>
      </c>
      <c r="C2" s="3"/>
      <c r="D2" s="3"/>
      <c r="E2" s="4"/>
      <c r="F2" s="134" t="str">
        <f>VLOOKUP(M2,[1]ทะเบียนลูกจ้าง!B6:C1395,2,FALSE)</f>
        <v>นาย สุริยา มารานนท์</v>
      </c>
      <c r="G2" s="135"/>
      <c r="H2" s="135"/>
      <c r="I2" s="136"/>
      <c r="J2" s="2" t="s">
        <v>2</v>
      </c>
      <c r="K2" s="3"/>
      <c r="L2" s="4"/>
      <c r="M2" s="137" t="s">
        <v>3</v>
      </c>
      <c r="N2" s="138"/>
      <c r="O2" s="139"/>
      <c r="P2" s="140" t="s">
        <v>4</v>
      </c>
      <c r="Q2" s="141"/>
      <c r="R2" s="142"/>
      <c r="S2" s="143">
        <v>46195</v>
      </c>
      <c r="T2" s="144"/>
      <c r="U2" s="144"/>
      <c r="V2" s="145"/>
      <c r="W2" s="2" t="s">
        <v>5</v>
      </c>
      <c r="X2" s="4"/>
    </row>
    <row r="3" spans="1:26" ht="33" customHeight="1" thickBot="1" x14ac:dyDescent="0.7">
      <c r="A3" s="5" t="s">
        <v>6</v>
      </c>
      <c r="B3" s="6" t="s">
        <v>7</v>
      </c>
      <c r="C3" s="7"/>
      <c r="D3" s="7"/>
      <c r="E3" s="8"/>
      <c r="F3" s="146" t="str">
        <f>VLOOKUP(M2,[1]ทะเบียนลูกจ้าง!B6:G1395,6,FALSE)</f>
        <v>พนักงานทั่วไป</v>
      </c>
      <c r="G3" s="147"/>
      <c r="H3" s="147"/>
      <c r="I3" s="148"/>
      <c r="J3" s="140" t="s">
        <v>8</v>
      </c>
      <c r="K3" s="141"/>
      <c r="L3" s="149"/>
      <c r="M3" s="150" t="str">
        <f>VLOOKUP(M2,[1]ทะเบียนลูกจ้าง!B6:G1395,3,FALSE)</f>
        <v>FMG-A</v>
      </c>
      <c r="N3" s="138"/>
      <c r="O3" s="139"/>
      <c r="P3" s="140" t="s">
        <v>9</v>
      </c>
      <c r="Q3" s="141"/>
      <c r="R3" s="142"/>
      <c r="S3" s="150" t="str">
        <f>M3</f>
        <v>FMG-A</v>
      </c>
      <c r="T3" s="138"/>
      <c r="U3" s="138"/>
      <c r="V3" s="139"/>
      <c r="W3" s="9"/>
      <c r="X3" s="10"/>
    </row>
    <row r="4" spans="1:26" ht="22" thickBot="1" x14ac:dyDescent="0.8">
      <c r="A4" s="11" t="s">
        <v>10</v>
      </c>
      <c r="B4" s="12" t="s">
        <v>11</v>
      </c>
      <c r="C4" s="13"/>
      <c r="D4" s="13"/>
      <c r="E4" s="13"/>
      <c r="F4" s="13"/>
      <c r="G4" s="13"/>
      <c r="H4" s="14"/>
      <c r="I4" s="15"/>
      <c r="J4" s="13"/>
      <c r="K4" s="13"/>
      <c r="L4" s="13"/>
      <c r="M4" s="13"/>
      <c r="N4" s="13"/>
      <c r="O4" s="13"/>
      <c r="P4" s="15"/>
      <c r="Q4" s="13"/>
      <c r="R4" s="13"/>
      <c r="S4" s="13"/>
      <c r="T4" s="13"/>
      <c r="U4" s="13"/>
      <c r="V4" s="13"/>
      <c r="W4" s="16"/>
      <c r="X4" s="14"/>
    </row>
    <row r="5" spans="1:26" ht="23" x14ac:dyDescent="0.65">
      <c r="A5" s="17" t="s">
        <v>12</v>
      </c>
      <c r="B5" s="18" t="s">
        <v>5</v>
      </c>
      <c r="C5" s="19"/>
      <c r="D5" s="132">
        <f>S2</f>
        <v>46195</v>
      </c>
      <c r="E5" s="132"/>
      <c r="F5" s="133">
        <f>D5+30</f>
        <v>46225</v>
      </c>
      <c r="G5" s="133"/>
      <c r="H5" s="20" t="s">
        <v>13</v>
      </c>
      <c r="I5" s="18" t="s">
        <v>5</v>
      </c>
      <c r="J5" s="19"/>
      <c r="K5" s="132">
        <f>S2</f>
        <v>46195</v>
      </c>
      <c r="L5" s="132"/>
      <c r="M5" s="133">
        <f>K5+90</f>
        <v>46285</v>
      </c>
      <c r="N5" s="133"/>
      <c r="O5" s="20" t="s">
        <v>14</v>
      </c>
      <c r="P5" s="18" t="s">
        <v>5</v>
      </c>
      <c r="Q5" s="19"/>
      <c r="R5" s="132">
        <f>S2</f>
        <v>46195</v>
      </c>
      <c r="S5" s="132"/>
      <c r="T5" s="133">
        <f>R5+119</f>
        <v>46314</v>
      </c>
      <c r="U5" s="133"/>
      <c r="V5" s="20" t="s">
        <v>15</v>
      </c>
      <c r="W5" s="126" t="s">
        <v>16</v>
      </c>
      <c r="X5" s="127"/>
    </row>
    <row r="6" spans="1:26" ht="17.5" x14ac:dyDescent="0.35">
      <c r="A6" s="81" t="s">
        <v>17</v>
      </c>
      <c r="B6" s="82" t="s">
        <v>18</v>
      </c>
      <c r="C6" s="83" t="s">
        <v>19</v>
      </c>
      <c r="D6" s="83" t="s">
        <v>20</v>
      </c>
      <c r="E6" s="83" t="s">
        <v>21</v>
      </c>
      <c r="F6" s="83" t="s">
        <v>22</v>
      </c>
      <c r="G6" s="84" t="s">
        <v>23</v>
      </c>
      <c r="H6" s="85" t="s">
        <v>24</v>
      </c>
      <c r="I6" s="86" t="s">
        <v>18</v>
      </c>
      <c r="J6" s="83" t="s">
        <v>19</v>
      </c>
      <c r="K6" s="83" t="s">
        <v>20</v>
      </c>
      <c r="L6" s="83" t="s">
        <v>21</v>
      </c>
      <c r="M6" s="83" t="s">
        <v>22</v>
      </c>
      <c r="N6" s="84" t="s">
        <v>23</v>
      </c>
      <c r="O6" s="85" t="s">
        <v>24</v>
      </c>
      <c r="P6" s="82" t="s">
        <v>18</v>
      </c>
      <c r="Q6" s="83" t="s">
        <v>19</v>
      </c>
      <c r="R6" s="83" t="s">
        <v>20</v>
      </c>
      <c r="S6" s="83" t="s">
        <v>21</v>
      </c>
      <c r="T6" s="83" t="s">
        <v>22</v>
      </c>
      <c r="U6" s="84" t="s">
        <v>23</v>
      </c>
      <c r="V6" s="87" t="s">
        <v>24</v>
      </c>
      <c r="W6" s="128"/>
      <c r="X6" s="129"/>
    </row>
    <row r="7" spans="1:26" ht="18" thickBot="1" x14ac:dyDescent="0.4">
      <c r="A7" s="88" t="s">
        <v>25</v>
      </c>
      <c r="B7" s="88">
        <v>5</v>
      </c>
      <c r="C7" s="89">
        <v>4</v>
      </c>
      <c r="D7" s="90">
        <v>3</v>
      </c>
      <c r="E7" s="89">
        <v>2</v>
      </c>
      <c r="F7" s="89">
        <v>1</v>
      </c>
      <c r="G7" s="91" t="s">
        <v>26</v>
      </c>
      <c r="H7" s="92" t="s">
        <v>27</v>
      </c>
      <c r="I7" s="90">
        <v>5</v>
      </c>
      <c r="J7" s="89">
        <v>4</v>
      </c>
      <c r="K7" s="90">
        <v>3</v>
      </c>
      <c r="L7" s="89">
        <v>2</v>
      </c>
      <c r="M7" s="89">
        <v>1</v>
      </c>
      <c r="N7" s="91" t="s">
        <v>26</v>
      </c>
      <c r="O7" s="92" t="s">
        <v>27</v>
      </c>
      <c r="P7" s="88">
        <v>5</v>
      </c>
      <c r="Q7" s="89">
        <v>4</v>
      </c>
      <c r="R7" s="90">
        <v>3</v>
      </c>
      <c r="S7" s="89">
        <v>2</v>
      </c>
      <c r="T7" s="89">
        <v>1</v>
      </c>
      <c r="U7" s="91" t="s">
        <v>26</v>
      </c>
      <c r="V7" s="90" t="s">
        <v>27</v>
      </c>
      <c r="W7" s="21"/>
      <c r="X7" s="22"/>
    </row>
    <row r="8" spans="1:26" ht="19.5" customHeight="1" x14ac:dyDescent="0.65">
      <c r="A8" s="23" t="s">
        <v>28</v>
      </c>
      <c r="B8" s="24"/>
      <c r="C8" s="25"/>
      <c r="D8" s="26"/>
      <c r="E8" s="25"/>
      <c r="F8" s="25"/>
      <c r="G8" s="27" t="s">
        <v>29</v>
      </c>
      <c r="H8" s="28"/>
      <c r="I8" s="26"/>
      <c r="J8" s="25"/>
      <c r="K8" s="25"/>
      <c r="L8" s="26"/>
      <c r="M8" s="25"/>
      <c r="N8" s="27" t="s">
        <v>29</v>
      </c>
      <c r="O8" s="28"/>
      <c r="P8" s="29"/>
      <c r="Q8" s="27"/>
      <c r="R8" s="30"/>
      <c r="S8" s="27"/>
      <c r="T8" s="27"/>
      <c r="U8" s="27" t="s">
        <v>29</v>
      </c>
      <c r="V8" s="30"/>
      <c r="W8" s="31" t="s">
        <v>30</v>
      </c>
      <c r="X8" s="32"/>
      <c r="Z8" t="s">
        <v>31</v>
      </c>
    </row>
    <row r="9" spans="1:26" ht="16.5" customHeight="1" x14ac:dyDescent="0.65">
      <c r="A9" s="33" t="s">
        <v>32</v>
      </c>
      <c r="B9" s="34"/>
      <c r="C9" s="35"/>
      <c r="D9" s="36"/>
      <c r="E9" s="35"/>
      <c r="F9" s="35"/>
      <c r="G9" s="35"/>
      <c r="H9" s="37"/>
      <c r="I9" s="36"/>
      <c r="J9" s="35"/>
      <c r="K9" s="35"/>
      <c r="L9" s="36"/>
      <c r="M9" s="35"/>
      <c r="N9" s="35"/>
      <c r="O9" s="37"/>
      <c r="P9" s="38"/>
      <c r="Q9" s="39"/>
      <c r="R9" s="40"/>
      <c r="S9" s="39"/>
      <c r="T9" s="39"/>
      <c r="U9" s="35"/>
      <c r="V9" s="40"/>
      <c r="W9" s="34"/>
      <c r="X9" s="37"/>
    </row>
    <row r="10" spans="1:26" ht="16.5" customHeight="1" x14ac:dyDescent="0.65">
      <c r="A10" s="23" t="s">
        <v>33</v>
      </c>
      <c r="B10" s="41"/>
      <c r="C10" s="42"/>
      <c r="D10" s="43"/>
      <c r="E10" s="42"/>
      <c r="F10" s="42"/>
      <c r="G10" s="44" t="s">
        <v>29</v>
      </c>
      <c r="H10" s="45"/>
      <c r="I10" s="46"/>
      <c r="J10" s="43"/>
      <c r="K10" s="42"/>
      <c r="L10" s="43"/>
      <c r="M10" s="42"/>
      <c r="N10" s="44" t="s">
        <v>29</v>
      </c>
      <c r="O10" s="45"/>
      <c r="P10" s="47"/>
      <c r="Q10" s="44"/>
      <c r="R10" s="48"/>
      <c r="S10" s="44"/>
      <c r="T10" s="44"/>
      <c r="U10" s="44" t="s">
        <v>29</v>
      </c>
      <c r="V10" s="48"/>
      <c r="W10" s="130"/>
      <c r="X10" s="131"/>
    </row>
    <row r="11" spans="1:26" ht="16.5" customHeight="1" x14ac:dyDescent="0.65">
      <c r="A11" s="33" t="s">
        <v>34</v>
      </c>
      <c r="B11" s="34"/>
      <c r="C11" s="35"/>
      <c r="D11" s="36"/>
      <c r="E11" s="35"/>
      <c r="F11" s="35"/>
      <c r="G11" s="35"/>
      <c r="H11" s="37"/>
      <c r="I11" s="49"/>
      <c r="J11" s="36"/>
      <c r="K11" s="35"/>
      <c r="L11" s="36"/>
      <c r="M11" s="35"/>
      <c r="N11" s="35"/>
      <c r="O11" s="37"/>
      <c r="P11" s="38"/>
      <c r="Q11" s="39"/>
      <c r="R11" s="40"/>
      <c r="S11" s="39"/>
      <c r="T11" s="39"/>
      <c r="U11" s="35"/>
      <c r="V11" s="40"/>
      <c r="W11" s="122"/>
      <c r="X11" s="123"/>
    </row>
    <row r="12" spans="1:26" ht="16.5" customHeight="1" x14ac:dyDescent="0.65">
      <c r="A12" s="23" t="s">
        <v>35</v>
      </c>
      <c r="B12" s="24"/>
      <c r="C12" s="25"/>
      <c r="D12" s="26"/>
      <c r="E12" s="25"/>
      <c r="F12" s="25"/>
      <c r="G12" s="44" t="s">
        <v>29</v>
      </c>
      <c r="H12" s="28" t="s">
        <v>30</v>
      </c>
      <c r="I12" s="50"/>
      <c r="J12" s="26"/>
      <c r="K12" s="25"/>
      <c r="L12" s="26"/>
      <c r="M12" s="25"/>
      <c r="N12" s="44" t="s">
        <v>29</v>
      </c>
      <c r="O12" s="28"/>
      <c r="P12" s="29"/>
      <c r="Q12" s="27"/>
      <c r="R12" s="30"/>
      <c r="S12" s="27"/>
      <c r="T12" s="27"/>
      <c r="U12" s="44" t="s">
        <v>29</v>
      </c>
      <c r="V12" s="30"/>
      <c r="W12" s="120"/>
      <c r="X12" s="121"/>
    </row>
    <row r="13" spans="1:26" ht="16.5" customHeight="1" x14ac:dyDescent="0.65">
      <c r="A13" s="33" t="s">
        <v>36</v>
      </c>
      <c r="B13" s="34"/>
      <c r="C13" s="35"/>
      <c r="D13" s="36"/>
      <c r="E13" s="35"/>
      <c r="F13" s="35"/>
      <c r="G13" s="35"/>
      <c r="H13" s="37"/>
      <c r="I13" s="49"/>
      <c r="J13" s="36"/>
      <c r="K13" s="35"/>
      <c r="L13" s="36"/>
      <c r="M13" s="35"/>
      <c r="N13" s="35"/>
      <c r="O13" s="37"/>
      <c r="P13" s="38"/>
      <c r="Q13" s="39"/>
      <c r="R13" s="40"/>
      <c r="S13" s="39"/>
      <c r="T13" s="39"/>
      <c r="U13" s="35"/>
      <c r="V13" s="40"/>
      <c r="W13" s="122"/>
      <c r="X13" s="123"/>
    </row>
    <row r="14" spans="1:26" ht="16.5" customHeight="1" x14ac:dyDescent="0.65">
      <c r="A14" s="23" t="s">
        <v>37</v>
      </c>
      <c r="B14" s="24"/>
      <c r="C14" s="25"/>
      <c r="D14" s="26"/>
      <c r="E14" s="25"/>
      <c r="F14" s="25"/>
      <c r="G14" s="44" t="s">
        <v>29</v>
      </c>
      <c r="H14" s="28"/>
      <c r="I14" s="50"/>
      <c r="J14" s="26"/>
      <c r="K14" s="25"/>
      <c r="L14" s="26"/>
      <c r="M14" s="25"/>
      <c r="N14" s="44" t="s">
        <v>29</v>
      </c>
      <c r="O14" s="28"/>
      <c r="P14" s="29"/>
      <c r="Q14" s="27"/>
      <c r="R14" s="30"/>
      <c r="S14" s="27"/>
      <c r="T14" s="27"/>
      <c r="U14" s="44" t="s">
        <v>29</v>
      </c>
      <c r="V14" s="30"/>
      <c r="W14" s="120"/>
      <c r="X14" s="121"/>
    </row>
    <row r="15" spans="1:26" ht="16.5" customHeight="1" x14ac:dyDescent="0.65">
      <c r="A15" s="33" t="s">
        <v>38</v>
      </c>
      <c r="B15" s="34"/>
      <c r="C15" s="35"/>
      <c r="D15" s="36"/>
      <c r="E15" s="35"/>
      <c r="F15" s="35"/>
      <c r="G15" s="35"/>
      <c r="H15" s="37"/>
      <c r="I15" s="49"/>
      <c r="J15" s="36"/>
      <c r="K15" s="35"/>
      <c r="L15" s="36"/>
      <c r="M15" s="35"/>
      <c r="N15" s="35"/>
      <c r="O15" s="37"/>
      <c r="P15" s="38"/>
      <c r="Q15" s="39"/>
      <c r="R15" s="40"/>
      <c r="S15" s="39"/>
      <c r="T15" s="39"/>
      <c r="U15" s="35"/>
      <c r="V15" s="40"/>
      <c r="W15" s="122"/>
      <c r="X15" s="123"/>
    </row>
    <row r="16" spans="1:26" ht="16.5" customHeight="1" x14ac:dyDescent="0.65">
      <c r="A16" s="51" t="s">
        <v>39</v>
      </c>
      <c r="B16" s="24"/>
      <c r="C16" s="25"/>
      <c r="D16" s="26"/>
      <c r="E16" s="25"/>
      <c r="F16" s="25"/>
      <c r="G16" s="44" t="s">
        <v>29</v>
      </c>
      <c r="H16" s="28"/>
      <c r="I16" s="50"/>
      <c r="J16" s="26"/>
      <c r="K16" s="25"/>
      <c r="L16" s="26"/>
      <c r="M16" s="25"/>
      <c r="N16" s="44" t="s">
        <v>29</v>
      </c>
      <c r="O16" s="28"/>
      <c r="P16" s="29"/>
      <c r="Q16" s="27"/>
      <c r="R16" s="30"/>
      <c r="S16" s="27"/>
      <c r="T16" s="27"/>
      <c r="U16" s="44" t="s">
        <v>29</v>
      </c>
      <c r="V16" s="30"/>
      <c r="W16" s="120"/>
      <c r="X16" s="121"/>
    </row>
    <row r="17" spans="1:24" ht="16.5" customHeight="1" x14ac:dyDescent="0.65">
      <c r="A17" s="52" t="s">
        <v>40</v>
      </c>
      <c r="B17" s="34"/>
      <c r="C17" s="35"/>
      <c r="D17" s="36"/>
      <c r="E17" s="35"/>
      <c r="F17" s="35"/>
      <c r="G17" s="35"/>
      <c r="H17" s="37"/>
      <c r="I17" s="49"/>
      <c r="J17" s="36"/>
      <c r="K17" s="35"/>
      <c r="L17" s="36"/>
      <c r="M17" s="35"/>
      <c r="N17" s="35"/>
      <c r="O17" s="37"/>
      <c r="P17" s="38"/>
      <c r="Q17" s="39"/>
      <c r="R17" s="40"/>
      <c r="S17" s="39"/>
      <c r="T17" s="39"/>
      <c r="U17" s="35"/>
      <c r="V17" s="40"/>
      <c r="W17" s="122" t="s">
        <v>30</v>
      </c>
      <c r="X17" s="123"/>
    </row>
    <row r="18" spans="1:24" ht="16.5" customHeight="1" x14ac:dyDescent="0.65">
      <c r="A18" s="23" t="s">
        <v>41</v>
      </c>
      <c r="B18" s="24"/>
      <c r="C18" s="25"/>
      <c r="D18" s="26"/>
      <c r="E18" s="25"/>
      <c r="F18" s="25"/>
      <c r="G18" s="44" t="s">
        <v>29</v>
      </c>
      <c r="H18" s="28"/>
      <c r="I18" s="50"/>
      <c r="J18" s="26"/>
      <c r="K18" s="25"/>
      <c r="L18" s="26"/>
      <c r="M18" s="25"/>
      <c r="N18" s="44" t="s">
        <v>29</v>
      </c>
      <c r="O18" s="28"/>
      <c r="P18" s="29"/>
      <c r="Q18" s="27"/>
      <c r="R18" s="30"/>
      <c r="S18" s="27"/>
      <c r="T18" s="27"/>
      <c r="U18" s="44" t="s">
        <v>29</v>
      </c>
      <c r="V18" s="30"/>
      <c r="W18" s="120" t="s">
        <v>30</v>
      </c>
      <c r="X18" s="121"/>
    </row>
    <row r="19" spans="1:24" ht="16.5" customHeight="1" x14ac:dyDescent="0.65">
      <c r="A19" s="33" t="s">
        <v>42</v>
      </c>
      <c r="B19" s="34"/>
      <c r="C19" s="35"/>
      <c r="D19" s="36"/>
      <c r="E19" s="35"/>
      <c r="F19" s="35"/>
      <c r="G19" s="35"/>
      <c r="H19" s="37"/>
      <c r="I19" s="49"/>
      <c r="J19" s="36"/>
      <c r="K19" s="35"/>
      <c r="L19" s="36"/>
      <c r="M19" s="35"/>
      <c r="N19" s="35"/>
      <c r="O19" s="37"/>
      <c r="P19" s="38"/>
      <c r="Q19" s="39"/>
      <c r="R19" s="40"/>
      <c r="S19" s="39"/>
      <c r="T19" s="39"/>
      <c r="U19" s="35"/>
      <c r="V19" s="40"/>
      <c r="W19" s="122" t="s">
        <v>30</v>
      </c>
      <c r="X19" s="123"/>
    </row>
    <row r="20" spans="1:24" ht="16.5" customHeight="1" x14ac:dyDescent="0.65">
      <c r="A20" s="23" t="s">
        <v>43</v>
      </c>
      <c r="B20" s="24"/>
      <c r="C20" s="25"/>
      <c r="D20" s="26"/>
      <c r="E20" s="25"/>
      <c r="F20" s="25"/>
      <c r="G20" s="44" t="s">
        <v>29</v>
      </c>
      <c r="H20" s="28"/>
      <c r="I20" s="50"/>
      <c r="J20" s="26"/>
      <c r="K20" s="25"/>
      <c r="L20" s="26"/>
      <c r="M20" s="25"/>
      <c r="N20" s="44" t="s">
        <v>29</v>
      </c>
      <c r="O20" s="28"/>
      <c r="P20" s="29"/>
      <c r="Q20" s="27"/>
      <c r="R20" s="30"/>
      <c r="S20" s="27"/>
      <c r="T20" s="27"/>
      <c r="U20" s="44" t="s">
        <v>29</v>
      </c>
      <c r="V20" s="30"/>
      <c r="W20" s="120" t="s">
        <v>30</v>
      </c>
      <c r="X20" s="121"/>
    </row>
    <row r="21" spans="1:24" ht="16.5" customHeight="1" x14ac:dyDescent="0.65">
      <c r="A21" s="33" t="s">
        <v>44</v>
      </c>
      <c r="B21" s="34"/>
      <c r="C21" s="35"/>
      <c r="D21" s="36"/>
      <c r="E21" s="35"/>
      <c r="F21" s="35"/>
      <c r="G21" s="35"/>
      <c r="H21" s="37"/>
      <c r="I21" s="49"/>
      <c r="J21" s="36"/>
      <c r="K21" s="35"/>
      <c r="L21" s="36"/>
      <c r="M21" s="35"/>
      <c r="N21" s="35"/>
      <c r="O21" s="37"/>
      <c r="P21" s="38"/>
      <c r="Q21" s="39"/>
      <c r="R21" s="40"/>
      <c r="S21" s="39"/>
      <c r="T21" s="39"/>
      <c r="U21" s="35"/>
      <c r="V21" s="40"/>
      <c r="W21" s="122" t="s">
        <v>30</v>
      </c>
      <c r="X21" s="123"/>
    </row>
    <row r="22" spans="1:24" ht="16.5" customHeight="1" x14ac:dyDescent="0.65">
      <c r="A22" s="23" t="s">
        <v>45</v>
      </c>
      <c r="B22" s="24"/>
      <c r="C22" s="25"/>
      <c r="D22" s="26"/>
      <c r="E22" s="25"/>
      <c r="F22" s="25"/>
      <c r="G22" s="44" t="s">
        <v>29</v>
      </c>
      <c r="H22" s="28"/>
      <c r="I22" s="50"/>
      <c r="J22" s="26"/>
      <c r="K22" s="25"/>
      <c r="L22" s="26"/>
      <c r="M22" s="25"/>
      <c r="N22" s="44" t="s">
        <v>29</v>
      </c>
      <c r="O22" s="28"/>
      <c r="P22" s="29"/>
      <c r="Q22" s="27"/>
      <c r="R22" s="30"/>
      <c r="S22" s="27"/>
      <c r="T22" s="27"/>
      <c r="U22" s="44" t="s">
        <v>29</v>
      </c>
      <c r="V22" s="30"/>
      <c r="W22" s="120" t="s">
        <v>30</v>
      </c>
      <c r="X22" s="121"/>
    </row>
    <row r="23" spans="1:24" ht="16.5" customHeight="1" x14ac:dyDescent="0.65">
      <c r="A23" s="33" t="s">
        <v>46</v>
      </c>
      <c r="B23" s="34"/>
      <c r="C23" s="35"/>
      <c r="D23" s="36"/>
      <c r="E23" s="35"/>
      <c r="F23" s="35"/>
      <c r="G23" s="35"/>
      <c r="H23" s="37"/>
      <c r="I23" s="49"/>
      <c r="J23" s="36"/>
      <c r="K23" s="35"/>
      <c r="L23" s="36"/>
      <c r="M23" s="35"/>
      <c r="N23" s="35"/>
      <c r="O23" s="37"/>
      <c r="P23" s="38"/>
      <c r="Q23" s="39"/>
      <c r="R23" s="40"/>
      <c r="S23" s="39"/>
      <c r="T23" s="39"/>
      <c r="U23" s="35"/>
      <c r="V23" s="40"/>
      <c r="W23" s="122" t="s">
        <v>30</v>
      </c>
      <c r="X23" s="123"/>
    </row>
    <row r="24" spans="1:24" ht="16.5" customHeight="1" x14ac:dyDescent="0.65">
      <c r="A24" s="51" t="s">
        <v>47</v>
      </c>
      <c r="B24" s="41"/>
      <c r="C24" s="42"/>
      <c r="D24" s="43"/>
      <c r="E24" s="42"/>
      <c r="F24" s="42"/>
      <c r="G24" s="44" t="s">
        <v>29</v>
      </c>
      <c r="H24" s="45"/>
      <c r="I24" s="46"/>
      <c r="J24" s="43"/>
      <c r="K24" s="42"/>
      <c r="L24" s="43"/>
      <c r="M24" s="42"/>
      <c r="N24" s="44" t="s">
        <v>29</v>
      </c>
      <c r="O24" s="45"/>
      <c r="P24" s="47"/>
      <c r="Q24" s="44"/>
      <c r="R24" s="48"/>
      <c r="S24" s="44"/>
      <c r="T24" s="44"/>
      <c r="U24" s="44" t="s">
        <v>29</v>
      </c>
      <c r="V24" s="48"/>
      <c r="W24" s="41"/>
      <c r="X24" s="45"/>
    </row>
    <row r="25" spans="1:24" ht="16.5" customHeight="1" x14ac:dyDescent="0.65">
      <c r="A25" s="33" t="s">
        <v>48</v>
      </c>
      <c r="B25" s="34"/>
      <c r="C25" s="35"/>
      <c r="D25" s="36"/>
      <c r="E25" s="35"/>
      <c r="F25" s="35"/>
      <c r="G25" s="35"/>
      <c r="H25" s="37"/>
      <c r="I25" s="49"/>
      <c r="J25" s="36"/>
      <c r="K25" s="35"/>
      <c r="L25" s="36"/>
      <c r="M25" s="35"/>
      <c r="N25" s="35"/>
      <c r="O25" s="37"/>
      <c r="P25" s="38"/>
      <c r="Q25" s="39"/>
      <c r="R25" s="40"/>
      <c r="S25" s="39"/>
      <c r="T25" s="39"/>
      <c r="U25" s="35"/>
      <c r="V25" s="40"/>
      <c r="W25" s="34"/>
      <c r="X25" s="37"/>
    </row>
    <row r="26" spans="1:24" ht="16.5" customHeight="1" x14ac:dyDescent="0.65">
      <c r="A26" s="23" t="s">
        <v>49</v>
      </c>
      <c r="B26" s="24"/>
      <c r="C26" s="25"/>
      <c r="D26" s="26"/>
      <c r="E26" s="25"/>
      <c r="F26" s="25"/>
      <c r="G26" s="27" t="s">
        <v>29</v>
      </c>
      <c r="H26" s="28"/>
      <c r="I26" s="50"/>
      <c r="J26" s="26"/>
      <c r="K26" s="25"/>
      <c r="L26" s="26"/>
      <c r="M26" s="25"/>
      <c r="N26" s="27" t="s">
        <v>29</v>
      </c>
      <c r="O26" s="28"/>
      <c r="P26" s="29"/>
      <c r="Q26" s="27"/>
      <c r="R26" s="30"/>
      <c r="S26" s="27"/>
      <c r="T26" s="27"/>
      <c r="U26" s="27" t="s">
        <v>29</v>
      </c>
      <c r="V26" s="30"/>
      <c r="W26" s="24"/>
      <c r="X26" s="28"/>
    </row>
    <row r="27" spans="1:24" ht="16.5" customHeight="1" thickBot="1" x14ac:dyDescent="0.7">
      <c r="A27" s="53" t="s">
        <v>50</v>
      </c>
      <c r="B27" s="24"/>
      <c r="C27" s="25"/>
      <c r="D27" s="26"/>
      <c r="E27" s="25"/>
      <c r="F27" s="25"/>
      <c r="G27" s="25"/>
      <c r="H27" s="28"/>
      <c r="I27" s="50"/>
      <c r="J27" s="26"/>
      <c r="K27" s="25"/>
      <c r="L27" s="26"/>
      <c r="M27" s="25"/>
      <c r="N27" s="25"/>
      <c r="O27" s="28"/>
      <c r="P27" s="29"/>
      <c r="Q27" s="27"/>
      <c r="R27" s="30"/>
      <c r="S27" s="27"/>
      <c r="T27" s="27"/>
      <c r="U27" s="25"/>
      <c r="V27" s="30"/>
      <c r="W27" s="24"/>
      <c r="X27" s="28"/>
    </row>
    <row r="28" spans="1:24" ht="18.75" customHeight="1" thickBot="1" x14ac:dyDescent="0.7">
      <c r="A28" s="54" t="s">
        <v>51</v>
      </c>
      <c r="B28" s="55"/>
      <c r="C28" s="56"/>
      <c r="D28" s="56"/>
      <c r="E28" s="56"/>
      <c r="F28" s="56"/>
      <c r="G28" s="56"/>
      <c r="H28" s="57"/>
      <c r="I28" s="58"/>
      <c r="J28" s="56"/>
      <c r="K28" s="56"/>
      <c r="L28" s="56"/>
      <c r="M28" s="56"/>
      <c r="N28" s="59"/>
      <c r="O28" s="60"/>
      <c r="P28" s="61"/>
      <c r="Q28" s="62"/>
      <c r="R28" s="62"/>
      <c r="S28" s="62"/>
      <c r="T28" s="62"/>
      <c r="U28" s="62"/>
      <c r="V28" s="63"/>
      <c r="W28" s="55"/>
      <c r="X28" s="57"/>
    </row>
    <row r="29" spans="1:24" ht="22.75" customHeight="1" thickBot="1" x14ac:dyDescent="0.7">
      <c r="A29" s="64" t="s">
        <v>52</v>
      </c>
      <c r="B29" s="31"/>
      <c r="C29" s="65" t="s">
        <v>53</v>
      </c>
      <c r="D29" s="65"/>
      <c r="E29" s="26"/>
      <c r="F29" s="65" t="s">
        <v>54</v>
      </c>
      <c r="G29" s="65"/>
      <c r="H29" s="32"/>
      <c r="I29" s="65"/>
      <c r="J29" s="65" t="s">
        <v>53</v>
      </c>
      <c r="K29" s="65"/>
      <c r="L29" s="26"/>
      <c r="M29" s="65" t="s">
        <v>54</v>
      </c>
      <c r="N29" s="65"/>
      <c r="O29" s="65"/>
      <c r="P29" s="31"/>
      <c r="Q29" s="65" t="s">
        <v>55</v>
      </c>
      <c r="R29" s="65"/>
      <c r="S29" s="65"/>
      <c r="T29" s="66"/>
      <c r="U29" s="65"/>
      <c r="V29" s="65"/>
      <c r="W29" s="124" t="s">
        <v>56</v>
      </c>
      <c r="X29" s="125"/>
    </row>
    <row r="30" spans="1:24" ht="22.75" customHeight="1" x14ac:dyDescent="0.75">
      <c r="A30" s="67" t="s">
        <v>57</v>
      </c>
      <c r="B30" s="24"/>
      <c r="C30" s="26" t="s">
        <v>58</v>
      </c>
      <c r="D30" s="26"/>
      <c r="E30" s="26" t="s">
        <v>30</v>
      </c>
      <c r="F30" s="26"/>
      <c r="G30" s="26"/>
      <c r="H30" s="28"/>
      <c r="I30" s="26"/>
      <c r="J30" s="26" t="s">
        <v>58</v>
      </c>
      <c r="K30" s="26"/>
      <c r="L30" s="26" t="s">
        <v>30</v>
      </c>
      <c r="M30" s="26"/>
      <c r="N30" s="26"/>
      <c r="O30" s="26"/>
      <c r="P30" s="24"/>
      <c r="Q30" s="68" t="s">
        <v>59</v>
      </c>
      <c r="R30" s="26"/>
      <c r="S30" s="26"/>
      <c r="T30" s="26"/>
      <c r="U30" s="26"/>
      <c r="V30" s="26"/>
      <c r="W30" s="93" t="s">
        <v>60</v>
      </c>
      <c r="X30" s="94"/>
    </row>
    <row r="31" spans="1:24" ht="22.75" customHeight="1" x14ac:dyDescent="0.75">
      <c r="A31" s="67" t="s">
        <v>61</v>
      </c>
      <c r="B31" s="24"/>
      <c r="C31" s="114" t="s">
        <v>62</v>
      </c>
      <c r="D31" s="114"/>
      <c r="E31" s="114"/>
      <c r="F31" s="114"/>
      <c r="G31" s="114"/>
      <c r="H31" s="115"/>
      <c r="I31" s="26"/>
      <c r="J31" s="114" t="s">
        <v>62</v>
      </c>
      <c r="K31" s="114"/>
      <c r="L31" s="114"/>
      <c r="M31" s="114"/>
      <c r="N31" s="114"/>
      <c r="O31" s="115"/>
      <c r="P31" s="24"/>
      <c r="Q31" s="26" t="s">
        <v>63</v>
      </c>
      <c r="R31" s="26"/>
      <c r="S31" s="26"/>
      <c r="T31" s="26"/>
      <c r="U31" s="26"/>
      <c r="V31" s="26"/>
      <c r="W31" s="116" t="s">
        <v>64</v>
      </c>
      <c r="X31" s="117"/>
    </row>
    <row r="32" spans="1:24" ht="22.75" customHeight="1" x14ac:dyDescent="0.75">
      <c r="A32" s="67" t="s">
        <v>65</v>
      </c>
      <c r="B32" s="24"/>
      <c r="C32" s="114" t="s">
        <v>66</v>
      </c>
      <c r="D32" s="114"/>
      <c r="E32" s="114"/>
      <c r="F32" s="114"/>
      <c r="G32" s="114"/>
      <c r="H32" s="115"/>
      <c r="I32" s="26"/>
      <c r="J32" s="114" t="s">
        <v>66</v>
      </c>
      <c r="K32" s="114"/>
      <c r="L32" s="114"/>
      <c r="M32" s="114"/>
      <c r="N32" s="114"/>
      <c r="O32" s="115"/>
      <c r="P32" s="70"/>
      <c r="Q32" s="69" t="s">
        <v>67</v>
      </c>
      <c r="R32" s="69"/>
      <c r="S32" s="69"/>
      <c r="T32" s="69"/>
      <c r="U32" s="69"/>
      <c r="V32" s="69"/>
      <c r="W32" s="116" t="s">
        <v>68</v>
      </c>
      <c r="X32" s="117"/>
    </row>
    <row r="33" spans="1:24" ht="22.75" customHeight="1" x14ac:dyDescent="0.75">
      <c r="A33" s="67" t="s">
        <v>69</v>
      </c>
      <c r="B33" s="24"/>
      <c r="C33" s="69"/>
      <c r="D33" s="69"/>
      <c r="E33" s="69"/>
      <c r="F33" s="69"/>
      <c r="G33" s="69"/>
      <c r="H33" s="68"/>
      <c r="I33" s="26"/>
      <c r="J33" s="69"/>
      <c r="K33" s="69"/>
      <c r="L33" s="69"/>
      <c r="M33" s="69"/>
      <c r="N33" s="69"/>
      <c r="O33" s="68"/>
      <c r="P33" s="70"/>
      <c r="Q33" s="69" t="s">
        <v>67</v>
      </c>
      <c r="R33" s="26"/>
      <c r="S33" s="26"/>
      <c r="T33" s="26"/>
      <c r="U33" s="26"/>
      <c r="V33" s="26"/>
      <c r="W33" s="96" t="s">
        <v>70</v>
      </c>
      <c r="X33" s="97"/>
    </row>
    <row r="34" spans="1:24" ht="22.75" customHeight="1" x14ac:dyDescent="0.75">
      <c r="A34" s="67" t="s">
        <v>71</v>
      </c>
      <c r="B34" s="24"/>
      <c r="C34" s="69" t="s">
        <v>72</v>
      </c>
      <c r="D34" s="69"/>
      <c r="E34" s="69"/>
      <c r="F34" s="69"/>
      <c r="G34" s="69"/>
      <c r="H34" s="68"/>
      <c r="I34" s="26"/>
      <c r="J34" s="69" t="s">
        <v>73</v>
      </c>
      <c r="K34" s="69"/>
      <c r="L34" s="69"/>
      <c r="M34" s="69"/>
      <c r="N34" s="69"/>
      <c r="O34" s="68"/>
      <c r="P34" s="70"/>
      <c r="Q34" s="69" t="s">
        <v>67</v>
      </c>
      <c r="R34" s="26"/>
      <c r="S34" s="26"/>
      <c r="T34" s="26"/>
      <c r="U34" s="26"/>
      <c r="V34" s="26"/>
      <c r="W34" s="96" t="s">
        <v>74</v>
      </c>
      <c r="X34" s="97"/>
    </row>
    <row r="35" spans="1:24" ht="22.75" customHeight="1" x14ac:dyDescent="0.75">
      <c r="A35" s="67" t="s">
        <v>75</v>
      </c>
      <c r="B35" s="24"/>
      <c r="C35" s="26" t="s">
        <v>66</v>
      </c>
      <c r="D35" s="69"/>
      <c r="E35" s="69"/>
      <c r="F35" s="69"/>
      <c r="G35" s="69"/>
      <c r="H35" s="68"/>
      <c r="I35" s="26"/>
      <c r="J35" s="26" t="s">
        <v>66</v>
      </c>
      <c r="K35" s="69"/>
      <c r="L35" s="69"/>
      <c r="M35" s="69"/>
      <c r="N35" s="69"/>
      <c r="O35" s="68"/>
      <c r="P35" s="24"/>
      <c r="Q35" s="69" t="s">
        <v>67</v>
      </c>
      <c r="R35" s="26"/>
      <c r="S35" s="26"/>
      <c r="T35" s="26"/>
      <c r="U35" s="26"/>
      <c r="V35" s="26"/>
      <c r="W35" s="96" t="s">
        <v>76</v>
      </c>
      <c r="X35" s="97"/>
    </row>
    <row r="36" spans="1:24" ht="22.75" customHeight="1" x14ac:dyDescent="0.75">
      <c r="A36" s="67" t="s">
        <v>77</v>
      </c>
      <c r="B36" s="24"/>
      <c r="C36" s="26"/>
      <c r="D36" s="69"/>
      <c r="E36" s="69"/>
      <c r="F36" s="69"/>
      <c r="G36" s="69"/>
      <c r="H36" s="68"/>
      <c r="I36" s="26"/>
      <c r="J36" s="26"/>
      <c r="K36" s="69"/>
      <c r="L36" s="69"/>
      <c r="M36" s="69"/>
      <c r="N36" s="69"/>
      <c r="O36" s="68"/>
      <c r="P36" s="70"/>
      <c r="Q36" s="26"/>
      <c r="R36" s="26"/>
      <c r="S36" s="26"/>
      <c r="T36" s="26"/>
      <c r="U36" s="26"/>
      <c r="V36" s="26"/>
      <c r="W36" s="95"/>
      <c r="X36" s="98"/>
    </row>
    <row r="37" spans="1:24" ht="22.75" customHeight="1" thickBot="1" x14ac:dyDescent="0.8">
      <c r="A37" s="67" t="s">
        <v>78</v>
      </c>
      <c r="B37" s="24"/>
      <c r="C37" s="69" t="s">
        <v>79</v>
      </c>
      <c r="D37" s="69"/>
      <c r="E37" s="69"/>
      <c r="F37" s="69"/>
      <c r="G37" s="69"/>
      <c r="H37" s="68"/>
      <c r="I37" s="26"/>
      <c r="J37" s="69" t="s">
        <v>80</v>
      </c>
      <c r="K37" s="69"/>
      <c r="L37" s="69"/>
      <c r="M37" s="69"/>
      <c r="N37" s="69"/>
      <c r="O37" s="68"/>
      <c r="P37" s="70"/>
      <c r="Q37" s="114" t="s">
        <v>62</v>
      </c>
      <c r="R37" s="114"/>
      <c r="S37" s="114"/>
      <c r="T37" s="114"/>
      <c r="U37" s="114"/>
      <c r="V37" s="114"/>
      <c r="W37" s="99" t="s">
        <v>81</v>
      </c>
      <c r="X37" s="100"/>
    </row>
    <row r="38" spans="1:24" ht="22.75" customHeight="1" x14ac:dyDescent="0.75">
      <c r="A38" s="67" t="s">
        <v>82</v>
      </c>
      <c r="B38" s="24"/>
      <c r="C38" s="26" t="s">
        <v>66</v>
      </c>
      <c r="D38" s="26"/>
      <c r="E38" s="26"/>
      <c r="F38" s="26"/>
      <c r="G38" s="26"/>
      <c r="H38" s="28"/>
      <c r="I38" s="26"/>
      <c r="J38" s="26" t="s">
        <v>66</v>
      </c>
      <c r="K38" s="26"/>
      <c r="L38" s="26"/>
      <c r="M38" s="26"/>
      <c r="N38" s="26"/>
      <c r="O38" s="28"/>
      <c r="P38" s="70"/>
      <c r="Q38" s="114" t="s">
        <v>66</v>
      </c>
      <c r="R38" s="114"/>
      <c r="S38" s="114"/>
      <c r="T38" s="114"/>
      <c r="U38" s="114"/>
      <c r="V38" s="114"/>
      <c r="W38" s="118" t="s">
        <v>83</v>
      </c>
      <c r="X38" s="119"/>
    </row>
    <row r="39" spans="1:24" ht="17.25" customHeight="1" x14ac:dyDescent="0.75">
      <c r="A39" s="67" t="s">
        <v>84</v>
      </c>
      <c r="B39" s="24"/>
      <c r="C39" s="26"/>
      <c r="D39" s="26"/>
      <c r="E39" s="26"/>
      <c r="F39" s="26"/>
      <c r="G39" s="26"/>
      <c r="H39" s="28"/>
      <c r="I39" s="26"/>
      <c r="J39" s="26"/>
      <c r="K39" s="26"/>
      <c r="L39" s="26"/>
      <c r="M39" s="26"/>
      <c r="N39" s="26"/>
      <c r="O39" s="28"/>
      <c r="P39" s="70"/>
      <c r="Q39" s="69"/>
      <c r="R39" s="69"/>
      <c r="S39" s="69"/>
      <c r="T39" s="69"/>
      <c r="U39" s="69"/>
      <c r="V39" s="69"/>
      <c r="W39" s="101"/>
      <c r="X39" s="102"/>
    </row>
    <row r="40" spans="1:24" ht="22.75" customHeight="1" x14ac:dyDescent="0.75">
      <c r="A40" s="71" t="s">
        <v>30</v>
      </c>
      <c r="B40" s="24"/>
      <c r="C40" s="26" t="s">
        <v>85</v>
      </c>
      <c r="D40" s="26"/>
      <c r="E40" s="26"/>
      <c r="F40" s="26"/>
      <c r="G40" s="26"/>
      <c r="H40" s="28"/>
      <c r="I40" s="26"/>
      <c r="J40" s="26" t="s">
        <v>86</v>
      </c>
      <c r="K40" s="26"/>
      <c r="L40" s="26"/>
      <c r="M40" s="26"/>
      <c r="N40" s="26"/>
      <c r="O40" s="28"/>
      <c r="P40" s="70"/>
      <c r="Q40" s="69" t="s">
        <v>72</v>
      </c>
      <c r="R40" s="69"/>
      <c r="S40" s="69"/>
      <c r="T40" s="69"/>
      <c r="U40" s="69"/>
      <c r="V40" s="69"/>
      <c r="W40" s="106"/>
      <c r="X40" s="107"/>
    </row>
    <row r="41" spans="1:24" ht="15.75" customHeight="1" thickBot="1" x14ac:dyDescent="0.8">
      <c r="A41" s="72" t="s">
        <v>30</v>
      </c>
      <c r="B41" s="73"/>
      <c r="C41" s="74" t="s">
        <v>87</v>
      </c>
      <c r="D41" s="74"/>
      <c r="E41" s="74"/>
      <c r="F41" s="74"/>
      <c r="G41" s="74"/>
      <c r="H41" s="75"/>
      <c r="I41" s="74"/>
      <c r="J41" s="74" t="s">
        <v>87</v>
      </c>
      <c r="K41" s="74"/>
      <c r="L41" s="74"/>
      <c r="M41" s="74"/>
      <c r="N41" s="74"/>
      <c r="O41" s="75"/>
      <c r="P41" s="70"/>
      <c r="Q41" s="26" t="s">
        <v>66</v>
      </c>
      <c r="R41" s="69"/>
      <c r="S41" s="69"/>
      <c r="T41" s="69"/>
      <c r="U41" s="69"/>
      <c r="V41" s="69"/>
      <c r="W41" s="108" t="s">
        <v>88</v>
      </c>
      <c r="X41" s="109"/>
    </row>
    <row r="42" spans="1:24" ht="20.25" customHeight="1" x14ac:dyDescent="0.65">
      <c r="A42" s="76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32"/>
      <c r="P42" s="26"/>
      <c r="Q42" s="26"/>
      <c r="R42" s="69"/>
      <c r="S42" s="69"/>
      <c r="T42" s="69"/>
      <c r="U42" s="69"/>
      <c r="V42" s="69"/>
      <c r="W42" s="103"/>
      <c r="X42" s="104"/>
    </row>
    <row r="43" spans="1:24" ht="20.25" customHeight="1" x14ac:dyDescent="0.65">
      <c r="A43" s="77"/>
      <c r="B43" s="26"/>
      <c r="C43" s="26"/>
      <c r="D43" s="26"/>
      <c r="E43" s="26"/>
      <c r="F43" s="26"/>
      <c r="G43" s="26"/>
      <c r="H43" s="78" t="s">
        <v>89</v>
      </c>
      <c r="I43" s="26"/>
      <c r="J43" s="78"/>
      <c r="K43" s="26" t="s">
        <v>90</v>
      </c>
      <c r="L43" s="79"/>
      <c r="M43" s="79"/>
      <c r="N43" s="79"/>
      <c r="O43" s="28"/>
      <c r="P43" s="26"/>
      <c r="Q43" s="69" t="s">
        <v>91</v>
      </c>
      <c r="R43" s="69"/>
      <c r="S43" s="69"/>
      <c r="T43" s="69"/>
      <c r="U43" s="69"/>
      <c r="V43" s="69"/>
      <c r="W43" s="105"/>
      <c r="X43" s="97"/>
    </row>
    <row r="44" spans="1:24" ht="20.25" customHeight="1" x14ac:dyDescent="0.65">
      <c r="A44" s="77"/>
      <c r="B44" s="26"/>
      <c r="C44" s="26"/>
      <c r="D44" s="26"/>
      <c r="E44" s="26"/>
      <c r="F44" s="26"/>
      <c r="G44" s="26"/>
      <c r="H44" s="78" t="s">
        <v>92</v>
      </c>
      <c r="I44" s="26"/>
      <c r="J44" s="78"/>
      <c r="K44" s="26" t="s">
        <v>90</v>
      </c>
      <c r="L44" s="79"/>
      <c r="M44" s="79"/>
      <c r="N44" s="79"/>
      <c r="O44" s="28"/>
      <c r="P44" s="26"/>
      <c r="Q44" s="26" t="s">
        <v>66</v>
      </c>
      <c r="R44" s="26"/>
      <c r="S44" s="26"/>
      <c r="T44" s="26"/>
      <c r="U44" s="26"/>
      <c r="V44" s="26"/>
      <c r="W44" s="105"/>
      <c r="X44" s="97"/>
    </row>
    <row r="45" spans="1:24" ht="20.25" customHeight="1" x14ac:dyDescent="0.65">
      <c r="A45" s="77"/>
      <c r="B45" s="26"/>
      <c r="C45" s="26"/>
      <c r="D45" s="26"/>
      <c r="E45" s="26"/>
      <c r="F45" s="26"/>
      <c r="G45" s="26"/>
      <c r="H45" s="78" t="s">
        <v>93</v>
      </c>
      <c r="I45" s="26"/>
      <c r="J45" s="78"/>
      <c r="K45" s="26" t="s">
        <v>90</v>
      </c>
      <c r="L45" s="79"/>
      <c r="M45" s="79"/>
      <c r="N45" s="79"/>
      <c r="O45" s="28"/>
      <c r="P45" s="26"/>
      <c r="Q45" s="26"/>
      <c r="R45" s="26"/>
      <c r="S45" s="26"/>
      <c r="T45" s="26"/>
      <c r="U45" s="26"/>
      <c r="V45" s="26"/>
      <c r="W45" s="110" t="s">
        <v>94</v>
      </c>
      <c r="X45" s="111"/>
    </row>
    <row r="46" spans="1:24" ht="20.25" customHeight="1" x14ac:dyDescent="0.75">
      <c r="A46" s="77"/>
      <c r="B46" s="26"/>
      <c r="C46" s="26"/>
      <c r="D46" s="26"/>
      <c r="E46" s="26"/>
      <c r="F46" s="26"/>
      <c r="G46" s="26"/>
      <c r="H46" s="78" t="s">
        <v>95</v>
      </c>
      <c r="I46" s="26"/>
      <c r="J46" s="78"/>
      <c r="K46" s="26" t="s">
        <v>90</v>
      </c>
      <c r="L46" s="79"/>
      <c r="M46" s="79"/>
      <c r="N46" s="79"/>
      <c r="O46" s="28"/>
      <c r="P46" s="26"/>
      <c r="Q46" s="26"/>
      <c r="R46" s="26"/>
      <c r="S46" s="26"/>
      <c r="T46" s="26"/>
      <c r="U46" s="26"/>
      <c r="V46" s="26"/>
      <c r="W46" s="106" t="s">
        <v>88</v>
      </c>
      <c r="X46" s="107"/>
    </row>
    <row r="47" spans="1:24" ht="12.75" customHeight="1" thickBot="1" x14ac:dyDescent="0.7">
      <c r="A47" s="80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/>
      <c r="P47" s="74"/>
      <c r="Q47" s="74"/>
      <c r="R47" s="74"/>
      <c r="S47" s="74"/>
      <c r="T47" s="74"/>
      <c r="U47" s="74"/>
      <c r="V47" s="75"/>
      <c r="W47" s="112"/>
      <c r="X47" s="113"/>
    </row>
  </sheetData>
  <mergeCells count="46">
    <mergeCell ref="F2:I2"/>
    <mergeCell ref="M2:O2"/>
    <mergeCell ref="P2:R2"/>
    <mergeCell ref="S2:V2"/>
    <mergeCell ref="F3:I3"/>
    <mergeCell ref="J3:L3"/>
    <mergeCell ref="M3:O3"/>
    <mergeCell ref="P3:R3"/>
    <mergeCell ref="S3:V3"/>
    <mergeCell ref="W13:X13"/>
    <mergeCell ref="D5:E5"/>
    <mergeCell ref="F5:G5"/>
    <mergeCell ref="K5:L5"/>
    <mergeCell ref="M5:N5"/>
    <mergeCell ref="R5:S5"/>
    <mergeCell ref="T5:U5"/>
    <mergeCell ref="W5:X5"/>
    <mergeCell ref="W6:X6"/>
    <mergeCell ref="W10:X10"/>
    <mergeCell ref="W11:X11"/>
    <mergeCell ref="W12:X12"/>
    <mergeCell ref="C31:H31"/>
    <mergeCell ref="J31:O31"/>
    <mergeCell ref="W31:X31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9:X29"/>
    <mergeCell ref="C32:H32"/>
    <mergeCell ref="J32:O32"/>
    <mergeCell ref="W32:X32"/>
    <mergeCell ref="Q37:V37"/>
    <mergeCell ref="Q38:V38"/>
    <mergeCell ref="W38:X38"/>
    <mergeCell ref="W40:X40"/>
    <mergeCell ref="W41:X41"/>
    <mergeCell ref="W45:X45"/>
    <mergeCell ref="W46:X46"/>
    <mergeCell ref="W47:X47"/>
  </mergeCells>
  <printOptions horizontalCentered="1"/>
  <pageMargins left="0.4" right="0" top="0" bottom="0" header="0.3" footer="0.3"/>
  <pageSetup paperSize="9" scale="61" orientation="landscape" horizontalDpi="300" verticalDpi="300" r:id="rId1"/>
  <headerFooter>
    <oddFooter>&amp;RF-HR-009 Rev.7 Effective 1/09/2016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Evaluation-ทดลองงานปกติ</vt:lpstr>
      <vt:lpstr>'Evaluation-ทดลองงานปกติ'!Print_Area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personal3</dc:creator>
  <cp:lastModifiedBy>personal3</cp:lastModifiedBy>
  <dcterms:created xsi:type="dcterms:W3CDTF">2026-07-09T11:31:42Z</dcterms:created>
  <dcterms:modified xsi:type="dcterms:W3CDTF">2026-07-09T13:02:16Z</dcterms:modified>
</cp:coreProperties>
</file>